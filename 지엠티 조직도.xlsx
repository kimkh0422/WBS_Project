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kh\Desktop\"/>
    </mc:Choice>
  </mc:AlternateContent>
  <xr:revisionPtr revIDLastSave="0" documentId="8_{9035197F-BC56-411A-A7C7-AC6CF10C278F}" xr6:coauthVersionLast="47" xr6:coauthVersionMax="47" xr10:uidLastSave="{00000000-0000-0000-0000-000000000000}"/>
  <bookViews>
    <workbookView xWindow="-28920" yWindow="1620" windowWidth="29040" windowHeight="15720" xr2:uid="{833407CB-20F5-4A34-9154-16435366E155}"/>
  </bookViews>
  <sheets>
    <sheet name="팀배정(확정)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E4" i="3"/>
  <c r="I4" i="3"/>
  <c r="J4" i="3"/>
  <c r="K4" i="3"/>
  <c r="J55" i="3" s="1"/>
  <c r="J56" i="3" s="1"/>
  <c r="O4" i="3"/>
  <c r="P4" i="3"/>
  <c r="Q4" i="3"/>
  <c r="P55" i="3" s="1"/>
  <c r="U4" i="3"/>
  <c r="V4" i="3"/>
  <c r="W4" i="3"/>
  <c r="V55" i="3" s="1"/>
  <c r="C5" i="3"/>
  <c r="D5" i="3"/>
  <c r="E5" i="3"/>
  <c r="D55" i="3" s="1"/>
  <c r="I5" i="3"/>
  <c r="J5" i="3"/>
  <c r="K5" i="3"/>
  <c r="O5" i="3"/>
  <c r="P5" i="3"/>
  <c r="Q5" i="3"/>
  <c r="U5" i="3"/>
  <c r="V5" i="3"/>
  <c r="W5" i="3"/>
  <c r="C6" i="3"/>
  <c r="D6" i="3"/>
  <c r="E6" i="3"/>
  <c r="I6" i="3"/>
  <c r="J6" i="3"/>
  <c r="K6" i="3"/>
  <c r="J54" i="3" s="1"/>
  <c r="O6" i="3"/>
  <c r="P6" i="3"/>
  <c r="Q6" i="3"/>
  <c r="U6" i="3"/>
  <c r="V6" i="3"/>
  <c r="W6" i="3"/>
  <c r="C7" i="3"/>
  <c r="D7" i="3"/>
  <c r="E7" i="3"/>
  <c r="I7" i="3"/>
  <c r="J7" i="3"/>
  <c r="K7" i="3"/>
  <c r="O7" i="3"/>
  <c r="P7" i="3"/>
  <c r="Q7" i="3"/>
  <c r="U7" i="3"/>
  <c r="V7" i="3"/>
  <c r="W7" i="3"/>
  <c r="C8" i="3"/>
  <c r="D8" i="3"/>
  <c r="E8" i="3"/>
  <c r="I8" i="3"/>
  <c r="J8" i="3"/>
  <c r="K8" i="3"/>
  <c r="O8" i="3"/>
  <c r="P8" i="3"/>
  <c r="Q8" i="3"/>
  <c r="U8" i="3"/>
  <c r="V8" i="3"/>
  <c r="W8" i="3"/>
  <c r="C9" i="3"/>
  <c r="D9" i="3"/>
  <c r="E9" i="3"/>
  <c r="I9" i="3"/>
  <c r="J9" i="3"/>
  <c r="K9" i="3"/>
  <c r="O9" i="3"/>
  <c r="P9" i="3"/>
  <c r="Q9" i="3"/>
  <c r="U9" i="3"/>
  <c r="V9" i="3"/>
  <c r="W9" i="3"/>
  <c r="C10" i="3"/>
  <c r="D10" i="3"/>
  <c r="E10" i="3"/>
  <c r="I10" i="3"/>
  <c r="J10" i="3"/>
  <c r="K10" i="3"/>
  <c r="O10" i="3"/>
  <c r="P10" i="3"/>
  <c r="Q10" i="3"/>
  <c r="U10" i="3"/>
  <c r="V10" i="3"/>
  <c r="W10" i="3"/>
  <c r="C11" i="3"/>
  <c r="D11" i="3"/>
  <c r="E11" i="3"/>
  <c r="I11" i="3"/>
  <c r="J11" i="3"/>
  <c r="K11" i="3"/>
  <c r="O11" i="3"/>
  <c r="P11" i="3"/>
  <c r="Q11" i="3"/>
  <c r="U11" i="3"/>
  <c r="V11" i="3"/>
  <c r="W11" i="3"/>
  <c r="C12" i="3"/>
  <c r="D12" i="3"/>
  <c r="E12" i="3"/>
  <c r="I12" i="3"/>
  <c r="J12" i="3"/>
  <c r="K12" i="3"/>
  <c r="O12" i="3"/>
  <c r="P12" i="3"/>
  <c r="Q12" i="3"/>
  <c r="U12" i="3"/>
  <c r="V12" i="3"/>
  <c r="W12" i="3"/>
  <c r="C13" i="3"/>
  <c r="D13" i="3"/>
  <c r="E13" i="3"/>
  <c r="I13" i="3"/>
  <c r="J13" i="3"/>
  <c r="K13" i="3"/>
  <c r="O13" i="3"/>
  <c r="P13" i="3"/>
  <c r="Q13" i="3"/>
  <c r="U13" i="3"/>
  <c r="V13" i="3"/>
  <c r="W13" i="3"/>
  <c r="C14" i="3"/>
  <c r="D14" i="3"/>
  <c r="E14" i="3"/>
  <c r="I14" i="3"/>
  <c r="J14" i="3"/>
  <c r="K14" i="3"/>
  <c r="O14" i="3"/>
  <c r="P14" i="3"/>
  <c r="Q14" i="3"/>
  <c r="U14" i="3"/>
  <c r="V14" i="3"/>
  <c r="W14" i="3"/>
  <c r="C15" i="3"/>
  <c r="D15" i="3"/>
  <c r="E15" i="3"/>
  <c r="I15" i="3"/>
  <c r="J15" i="3"/>
  <c r="K15" i="3"/>
  <c r="O15" i="3"/>
  <c r="P15" i="3"/>
  <c r="Q15" i="3"/>
  <c r="U15" i="3"/>
  <c r="V15" i="3"/>
  <c r="W15" i="3"/>
  <c r="C16" i="3"/>
  <c r="D16" i="3"/>
  <c r="E16" i="3"/>
  <c r="I16" i="3"/>
  <c r="J16" i="3"/>
  <c r="K16" i="3"/>
  <c r="O16" i="3"/>
  <c r="P16" i="3"/>
  <c r="Q16" i="3"/>
  <c r="U16" i="3"/>
  <c r="V16" i="3"/>
  <c r="W16" i="3"/>
  <c r="C17" i="3"/>
  <c r="D17" i="3"/>
  <c r="E17" i="3"/>
  <c r="I17" i="3"/>
  <c r="J17" i="3"/>
  <c r="K17" i="3"/>
  <c r="O17" i="3"/>
  <c r="P17" i="3"/>
  <c r="Q17" i="3"/>
  <c r="U17" i="3"/>
  <c r="V17" i="3"/>
  <c r="W17" i="3"/>
  <c r="C18" i="3"/>
  <c r="D18" i="3"/>
  <c r="E18" i="3"/>
  <c r="I18" i="3"/>
  <c r="J18" i="3"/>
  <c r="K18" i="3"/>
  <c r="O18" i="3"/>
  <c r="P18" i="3"/>
  <c r="Q18" i="3"/>
  <c r="U18" i="3"/>
  <c r="V18" i="3"/>
  <c r="W18" i="3"/>
  <c r="C19" i="3"/>
  <c r="D19" i="3"/>
  <c r="E19" i="3"/>
  <c r="I19" i="3"/>
  <c r="J19" i="3"/>
  <c r="K19" i="3"/>
  <c r="O19" i="3"/>
  <c r="P19" i="3"/>
  <c r="Q19" i="3"/>
  <c r="U19" i="3"/>
  <c r="V19" i="3"/>
  <c r="W19" i="3"/>
  <c r="C20" i="3"/>
  <c r="D20" i="3"/>
  <c r="E20" i="3"/>
  <c r="I20" i="3"/>
  <c r="J20" i="3"/>
  <c r="K20" i="3"/>
  <c r="O20" i="3"/>
  <c r="P20" i="3"/>
  <c r="Q20" i="3"/>
  <c r="U20" i="3"/>
  <c r="V20" i="3"/>
  <c r="W20" i="3"/>
  <c r="C21" i="3"/>
  <c r="D21" i="3"/>
  <c r="E21" i="3"/>
  <c r="I21" i="3"/>
  <c r="J21" i="3"/>
  <c r="K21" i="3"/>
  <c r="O21" i="3"/>
  <c r="P21" i="3"/>
  <c r="Q21" i="3"/>
  <c r="U21" i="3"/>
  <c r="V21" i="3"/>
  <c r="W21" i="3"/>
  <c r="C22" i="3"/>
  <c r="D22" i="3"/>
  <c r="E22" i="3"/>
  <c r="I22" i="3"/>
  <c r="J22" i="3"/>
  <c r="K22" i="3"/>
  <c r="O22" i="3"/>
  <c r="P22" i="3"/>
  <c r="Q22" i="3"/>
  <c r="U22" i="3"/>
  <c r="V22" i="3"/>
  <c r="W22" i="3"/>
  <c r="C23" i="3"/>
  <c r="D23" i="3"/>
  <c r="E23" i="3"/>
  <c r="I23" i="3"/>
  <c r="J23" i="3"/>
  <c r="K23" i="3"/>
  <c r="O23" i="3"/>
  <c r="P23" i="3"/>
  <c r="Q23" i="3"/>
  <c r="U23" i="3"/>
  <c r="V23" i="3"/>
  <c r="W23" i="3"/>
  <c r="C24" i="3"/>
  <c r="D24" i="3"/>
  <c r="E24" i="3"/>
  <c r="I24" i="3"/>
  <c r="J24" i="3"/>
  <c r="K24" i="3"/>
  <c r="O24" i="3"/>
  <c r="P24" i="3"/>
  <c r="Q24" i="3"/>
  <c r="U24" i="3"/>
  <c r="V24" i="3"/>
  <c r="W24" i="3"/>
  <c r="C25" i="3"/>
  <c r="D25" i="3"/>
  <c r="E25" i="3"/>
  <c r="I25" i="3"/>
  <c r="J25" i="3"/>
  <c r="K25" i="3"/>
  <c r="O25" i="3"/>
  <c r="P25" i="3"/>
  <c r="Q25" i="3"/>
  <c r="U25" i="3"/>
  <c r="V25" i="3"/>
  <c r="W25" i="3"/>
  <c r="C26" i="3"/>
  <c r="D26" i="3"/>
  <c r="E26" i="3"/>
  <c r="I26" i="3"/>
  <c r="J26" i="3"/>
  <c r="K26" i="3"/>
  <c r="O26" i="3"/>
  <c r="P26" i="3"/>
  <c r="Q26" i="3"/>
  <c r="U26" i="3"/>
  <c r="V26" i="3"/>
  <c r="W26" i="3"/>
  <c r="C27" i="3"/>
  <c r="D27" i="3"/>
  <c r="E27" i="3"/>
  <c r="I27" i="3"/>
  <c r="J27" i="3"/>
  <c r="K27" i="3"/>
  <c r="O27" i="3"/>
  <c r="P27" i="3"/>
  <c r="Q27" i="3"/>
  <c r="U27" i="3"/>
  <c r="V27" i="3"/>
  <c r="W27" i="3"/>
  <c r="C28" i="3"/>
  <c r="D28" i="3"/>
  <c r="E28" i="3"/>
  <c r="I28" i="3"/>
  <c r="J28" i="3"/>
  <c r="K28" i="3"/>
  <c r="O28" i="3"/>
  <c r="P28" i="3"/>
  <c r="Q28" i="3"/>
  <c r="U28" i="3"/>
  <c r="V28" i="3"/>
  <c r="W28" i="3"/>
  <c r="C29" i="3"/>
  <c r="D29" i="3"/>
  <c r="E29" i="3"/>
  <c r="I29" i="3"/>
  <c r="J29" i="3"/>
  <c r="K29" i="3"/>
  <c r="O29" i="3"/>
  <c r="P29" i="3"/>
  <c r="Q29" i="3"/>
  <c r="U29" i="3"/>
  <c r="V29" i="3"/>
  <c r="W29" i="3"/>
  <c r="C30" i="3"/>
  <c r="D30" i="3"/>
  <c r="E30" i="3"/>
  <c r="I30" i="3"/>
  <c r="J30" i="3"/>
  <c r="K30" i="3"/>
  <c r="O30" i="3"/>
  <c r="P30" i="3"/>
  <c r="Q30" i="3"/>
  <c r="U30" i="3"/>
  <c r="V30" i="3"/>
  <c r="W30" i="3"/>
  <c r="C31" i="3"/>
  <c r="D31" i="3"/>
  <c r="E31" i="3"/>
  <c r="I31" i="3"/>
  <c r="J31" i="3"/>
  <c r="K31" i="3"/>
  <c r="O31" i="3"/>
  <c r="P31" i="3"/>
  <c r="Q31" i="3"/>
  <c r="U31" i="3"/>
  <c r="V31" i="3"/>
  <c r="W31" i="3"/>
  <c r="C32" i="3"/>
  <c r="D32" i="3"/>
  <c r="E32" i="3"/>
  <c r="I32" i="3"/>
  <c r="J32" i="3"/>
  <c r="K32" i="3"/>
  <c r="O32" i="3"/>
  <c r="P32" i="3"/>
  <c r="Q32" i="3"/>
  <c r="U32" i="3"/>
  <c r="V32" i="3"/>
  <c r="W32" i="3"/>
  <c r="C33" i="3"/>
  <c r="D33" i="3"/>
  <c r="E33" i="3"/>
  <c r="I33" i="3"/>
  <c r="J33" i="3"/>
  <c r="K33" i="3"/>
  <c r="O33" i="3"/>
  <c r="P33" i="3"/>
  <c r="Q33" i="3"/>
  <c r="U33" i="3"/>
  <c r="V33" i="3"/>
  <c r="W33" i="3"/>
  <c r="C34" i="3"/>
  <c r="D34" i="3"/>
  <c r="E34" i="3"/>
  <c r="I34" i="3"/>
  <c r="J34" i="3"/>
  <c r="K34" i="3"/>
  <c r="O34" i="3"/>
  <c r="P34" i="3"/>
  <c r="Q34" i="3"/>
  <c r="U34" i="3"/>
  <c r="V34" i="3"/>
  <c r="W34" i="3"/>
  <c r="C35" i="3"/>
  <c r="D35" i="3"/>
  <c r="E35" i="3"/>
  <c r="I35" i="3"/>
  <c r="J35" i="3"/>
  <c r="K35" i="3"/>
  <c r="O35" i="3"/>
  <c r="P35" i="3"/>
  <c r="Q35" i="3"/>
  <c r="U35" i="3"/>
  <c r="V35" i="3"/>
  <c r="W35" i="3"/>
  <c r="C36" i="3"/>
  <c r="D36" i="3"/>
  <c r="E36" i="3"/>
  <c r="I36" i="3"/>
  <c r="J36" i="3"/>
  <c r="K36" i="3"/>
  <c r="O36" i="3"/>
  <c r="P36" i="3"/>
  <c r="Q36" i="3"/>
  <c r="U36" i="3"/>
  <c r="V36" i="3"/>
  <c r="W36" i="3"/>
  <c r="C37" i="3"/>
  <c r="D37" i="3"/>
  <c r="E37" i="3"/>
  <c r="I37" i="3"/>
  <c r="J37" i="3"/>
  <c r="K37" i="3"/>
  <c r="O37" i="3"/>
  <c r="P37" i="3"/>
  <c r="Q37" i="3"/>
  <c r="U37" i="3"/>
  <c r="V37" i="3"/>
  <c r="W37" i="3"/>
  <c r="C38" i="3"/>
  <c r="D38" i="3"/>
  <c r="E38" i="3"/>
  <c r="I38" i="3"/>
  <c r="J38" i="3"/>
  <c r="K38" i="3"/>
  <c r="O38" i="3"/>
  <c r="P38" i="3"/>
  <c r="Q38" i="3"/>
  <c r="U38" i="3"/>
  <c r="V38" i="3"/>
  <c r="W38" i="3"/>
  <c r="C39" i="3"/>
  <c r="D39" i="3"/>
  <c r="E39" i="3"/>
  <c r="I39" i="3"/>
  <c r="J39" i="3"/>
  <c r="K39" i="3"/>
  <c r="O39" i="3"/>
  <c r="P39" i="3"/>
  <c r="Q39" i="3"/>
  <c r="U39" i="3"/>
  <c r="V39" i="3"/>
  <c r="W39" i="3"/>
  <c r="C40" i="3"/>
  <c r="D40" i="3"/>
  <c r="E40" i="3"/>
  <c r="I40" i="3"/>
  <c r="J40" i="3"/>
  <c r="K40" i="3"/>
  <c r="O40" i="3"/>
  <c r="P40" i="3"/>
  <c r="Q40" i="3"/>
  <c r="U40" i="3"/>
  <c r="V40" i="3"/>
  <c r="W40" i="3"/>
  <c r="C41" i="3"/>
  <c r="D41" i="3"/>
  <c r="E41" i="3"/>
  <c r="I41" i="3"/>
  <c r="J41" i="3"/>
  <c r="K41" i="3"/>
  <c r="O41" i="3"/>
  <c r="P41" i="3"/>
  <c r="Q41" i="3"/>
  <c r="U41" i="3"/>
  <c r="V41" i="3"/>
  <c r="W41" i="3"/>
  <c r="C42" i="3"/>
  <c r="D42" i="3"/>
  <c r="E42" i="3"/>
  <c r="I42" i="3"/>
  <c r="J42" i="3"/>
  <c r="K42" i="3"/>
  <c r="O42" i="3"/>
  <c r="P42" i="3"/>
  <c r="Q42" i="3"/>
  <c r="U42" i="3"/>
  <c r="V42" i="3"/>
  <c r="W42" i="3"/>
  <c r="C43" i="3"/>
  <c r="D43" i="3"/>
  <c r="E43" i="3"/>
  <c r="I43" i="3"/>
  <c r="J43" i="3"/>
  <c r="K43" i="3"/>
  <c r="O43" i="3"/>
  <c r="P43" i="3"/>
  <c r="Q43" i="3"/>
  <c r="U43" i="3"/>
  <c r="V43" i="3"/>
  <c r="W43" i="3"/>
  <c r="C44" i="3"/>
  <c r="D44" i="3"/>
  <c r="E44" i="3"/>
  <c r="I44" i="3"/>
  <c r="J44" i="3"/>
  <c r="K44" i="3"/>
  <c r="O44" i="3"/>
  <c r="P44" i="3"/>
  <c r="Q44" i="3"/>
  <c r="U44" i="3"/>
  <c r="V44" i="3"/>
  <c r="W44" i="3"/>
  <c r="C45" i="3"/>
  <c r="D45" i="3"/>
  <c r="E45" i="3"/>
  <c r="I45" i="3"/>
  <c r="J45" i="3"/>
  <c r="K45" i="3"/>
  <c r="O45" i="3"/>
  <c r="P45" i="3"/>
  <c r="Q45" i="3"/>
  <c r="U45" i="3"/>
  <c r="V45" i="3"/>
  <c r="W45" i="3"/>
  <c r="C46" i="3"/>
  <c r="D46" i="3"/>
  <c r="E46" i="3"/>
  <c r="I46" i="3"/>
  <c r="J46" i="3"/>
  <c r="K46" i="3"/>
  <c r="O46" i="3"/>
  <c r="P46" i="3"/>
  <c r="Q46" i="3"/>
  <c r="U46" i="3"/>
  <c r="V46" i="3"/>
  <c r="W46" i="3"/>
  <c r="C47" i="3"/>
  <c r="D47" i="3"/>
  <c r="E47" i="3"/>
  <c r="I47" i="3"/>
  <c r="J47" i="3"/>
  <c r="K47" i="3"/>
  <c r="O47" i="3"/>
  <c r="P47" i="3"/>
  <c r="Q47" i="3"/>
  <c r="U47" i="3"/>
  <c r="V47" i="3"/>
  <c r="W47" i="3"/>
  <c r="C48" i="3"/>
  <c r="D48" i="3"/>
  <c r="E48" i="3"/>
  <c r="I48" i="3"/>
  <c r="J48" i="3"/>
  <c r="K48" i="3"/>
  <c r="O48" i="3"/>
  <c r="P48" i="3"/>
  <c r="Q48" i="3"/>
  <c r="U48" i="3"/>
  <c r="V48" i="3"/>
  <c r="W48" i="3"/>
  <c r="C49" i="3"/>
  <c r="D49" i="3"/>
  <c r="E49" i="3"/>
  <c r="I49" i="3"/>
  <c r="J49" i="3"/>
  <c r="K49" i="3"/>
  <c r="O49" i="3"/>
  <c r="P49" i="3"/>
  <c r="Q49" i="3"/>
  <c r="U49" i="3"/>
  <c r="V49" i="3"/>
  <c r="W49" i="3"/>
  <c r="C50" i="3"/>
  <c r="D50" i="3"/>
  <c r="E50" i="3"/>
  <c r="I50" i="3"/>
  <c r="J50" i="3"/>
  <c r="K50" i="3"/>
  <c r="O50" i="3"/>
  <c r="P50" i="3"/>
  <c r="Q50" i="3"/>
  <c r="U50" i="3"/>
  <c r="V50" i="3"/>
  <c r="W50" i="3"/>
  <c r="C51" i="3"/>
  <c r="D51" i="3"/>
  <c r="E51" i="3"/>
  <c r="I51" i="3"/>
  <c r="J51" i="3"/>
  <c r="K51" i="3"/>
  <c r="O51" i="3"/>
  <c r="P51" i="3"/>
  <c r="Q51" i="3"/>
  <c r="U51" i="3"/>
  <c r="V51" i="3"/>
  <c r="W51" i="3"/>
  <c r="C52" i="3"/>
  <c r="D52" i="3"/>
  <c r="E52" i="3"/>
  <c r="I52" i="3"/>
  <c r="J52" i="3"/>
  <c r="K52" i="3"/>
  <c r="O52" i="3"/>
  <c r="P52" i="3"/>
  <c r="Q52" i="3"/>
  <c r="U52" i="3"/>
  <c r="V52" i="3"/>
  <c r="W52" i="3"/>
  <c r="C53" i="3"/>
  <c r="D53" i="3"/>
  <c r="E53" i="3"/>
  <c r="I53" i="3"/>
  <c r="J53" i="3"/>
  <c r="K53" i="3"/>
  <c r="O53" i="3"/>
  <c r="P53" i="3"/>
  <c r="Q53" i="3"/>
  <c r="U53" i="3"/>
  <c r="V53" i="3"/>
  <c r="W53" i="3"/>
  <c r="P54" i="3"/>
  <c r="V54" i="3"/>
  <c r="V56" i="3" s="1"/>
  <c r="P56" i="3" l="1"/>
  <c r="D54" i="3"/>
  <c r="D56" i="3" s="1"/>
  <c r="V58" i="3" s="1"/>
</calcChain>
</file>

<file path=xl/sharedStrings.xml><?xml version="1.0" encoding="utf-8"?>
<sst xmlns="http://schemas.openxmlformats.org/spreadsheetml/2006/main" count="197" uniqueCount="173">
  <si>
    <t>총 인원</t>
    <phoneticPr fontId="4" type="noConversion"/>
  </si>
  <si>
    <t>여</t>
    <phoneticPr fontId="4" type="noConversion"/>
  </si>
  <si>
    <t>남</t>
    <phoneticPr fontId="4" type="noConversion"/>
  </si>
  <si>
    <t>성별</t>
    <phoneticPr fontId="4" type="noConversion"/>
  </si>
  <si>
    <t>김다해</t>
  </si>
  <si>
    <t>심지열</t>
  </si>
  <si>
    <t>윤태상</t>
  </si>
  <si>
    <t>김선환</t>
  </si>
  <si>
    <t>지소휘</t>
  </si>
  <si>
    <t>오병희</t>
  </si>
  <si>
    <t>김민균</t>
  </si>
  <si>
    <t>양승원</t>
  </si>
  <si>
    <t>김일웅</t>
  </si>
  <si>
    <t>이재욱</t>
  </si>
  <si>
    <t>이섬결</t>
  </si>
  <si>
    <t>김서현</t>
  </si>
  <si>
    <t>이정호</t>
  </si>
  <si>
    <t>김영훈</t>
  </si>
  <si>
    <t>장호철</t>
  </si>
  <si>
    <t>김희창</t>
  </si>
  <si>
    <t>이덕수</t>
  </si>
  <si>
    <t>노수기</t>
  </si>
  <si>
    <t>양재훈</t>
  </si>
  <si>
    <t>이선호</t>
  </si>
  <si>
    <t>김현근</t>
  </si>
  <si>
    <t>최현정</t>
  </si>
  <si>
    <t>김태민</t>
  </si>
  <si>
    <t>양승호</t>
  </si>
  <si>
    <t>이예은</t>
  </si>
  <si>
    <t>최재연</t>
  </si>
  <si>
    <t>송용학</t>
  </si>
  <si>
    <t>문병권</t>
  </si>
  <si>
    <t>주현석</t>
  </si>
  <si>
    <t>이지호</t>
  </si>
  <si>
    <t>박종화</t>
  </si>
  <si>
    <t>남정찬</t>
  </si>
  <si>
    <t>권혜정</t>
  </si>
  <si>
    <t>최재환</t>
  </si>
  <si>
    <t>박상규</t>
  </si>
  <si>
    <t>정주은</t>
  </si>
  <si>
    <t>김현철</t>
  </si>
  <si>
    <t>김창민</t>
  </si>
  <si>
    <t>윤성우</t>
  </si>
  <si>
    <t>김동균</t>
  </si>
  <si>
    <t>박진우</t>
  </si>
  <si>
    <t>심지우</t>
  </si>
  <si>
    <t>홍영호</t>
  </si>
  <si>
    <t>박수영</t>
  </si>
  <si>
    <t>이권우</t>
  </si>
  <si>
    <t>서원택</t>
  </si>
  <si>
    <t>조유민</t>
  </si>
  <si>
    <t>박준호</t>
  </si>
  <si>
    <t>하재술</t>
  </si>
  <si>
    <t>박관웅</t>
  </si>
  <si>
    <t>이지우</t>
  </si>
  <si>
    <t>정윤수</t>
  </si>
  <si>
    <t>김영심</t>
  </si>
  <si>
    <t>김도훈</t>
  </si>
  <si>
    <t>최성복</t>
  </si>
  <si>
    <t>신현호</t>
  </si>
  <si>
    <t>김다운</t>
  </si>
  <si>
    <t>박형호</t>
  </si>
  <si>
    <t>구현수</t>
  </si>
  <si>
    <t>이남규</t>
  </si>
  <si>
    <t>김완재</t>
  </si>
  <si>
    <t>고병용</t>
  </si>
  <si>
    <t>문준석</t>
  </si>
  <si>
    <t>박은성</t>
  </si>
  <si>
    <t>하정효</t>
  </si>
  <si>
    <t>이기석</t>
  </si>
  <si>
    <t>남우준</t>
  </si>
  <si>
    <t>성유경</t>
  </si>
  <si>
    <t>송우진</t>
  </si>
  <si>
    <t>이강호</t>
  </si>
  <si>
    <t>정성윤</t>
  </si>
  <si>
    <t>김재현</t>
  </si>
  <si>
    <t>정기현</t>
  </si>
  <si>
    <t>송유신</t>
  </si>
  <si>
    <t>문성대</t>
  </si>
  <si>
    <t>이승하</t>
  </si>
  <si>
    <t>이수빈</t>
  </si>
  <si>
    <t>이신용</t>
  </si>
  <si>
    <t>이동규</t>
  </si>
  <si>
    <t>권준영</t>
  </si>
  <si>
    <t>은준우</t>
  </si>
  <si>
    <t>강동석</t>
  </si>
  <si>
    <t>허지원</t>
  </si>
  <si>
    <t>임서율</t>
  </si>
  <si>
    <t>한영석</t>
  </si>
  <si>
    <t>이의용</t>
  </si>
  <si>
    <t>김영실</t>
  </si>
  <si>
    <t>최윤석</t>
  </si>
  <si>
    <t>신현빈</t>
  </si>
  <si>
    <t>박상일</t>
  </si>
  <si>
    <t>김태식</t>
  </si>
  <si>
    <t>문성준</t>
  </si>
  <si>
    <t>조아라</t>
  </si>
  <si>
    <t>김주영</t>
  </si>
  <si>
    <t>전인호</t>
    <phoneticPr fontId="6" type="noConversion"/>
  </si>
  <si>
    <t>박성웅</t>
  </si>
  <si>
    <t>김은정</t>
  </si>
  <si>
    <t>이준혁</t>
  </si>
  <si>
    <t>전인호A</t>
    <phoneticPr fontId="6" type="noConversion"/>
  </si>
  <si>
    <t>유병규</t>
  </si>
  <si>
    <t>지경민</t>
  </si>
  <si>
    <t>노재원</t>
  </si>
  <si>
    <t>김선화</t>
  </si>
  <si>
    <t>이상길</t>
  </si>
  <si>
    <t>허단비</t>
  </si>
  <si>
    <t>신진우</t>
  </si>
  <si>
    <t>장민규</t>
  </si>
  <si>
    <t>정민환</t>
  </si>
  <si>
    <t>이혜진</t>
  </si>
  <si>
    <t>황준호</t>
  </si>
  <si>
    <t>배석</t>
  </si>
  <si>
    <t>이슬</t>
  </si>
  <si>
    <t>이경진</t>
  </si>
  <si>
    <t>한규혁</t>
  </si>
  <si>
    <t>양이레</t>
  </si>
  <si>
    <t>이현민</t>
  </si>
  <si>
    <t>김민성</t>
  </si>
  <si>
    <t>정태창</t>
  </si>
  <si>
    <t>박정훈</t>
  </si>
  <si>
    <t>이자영</t>
  </si>
  <si>
    <t>장은영</t>
  </si>
  <si>
    <t>이수정</t>
  </si>
  <si>
    <t>이경준</t>
  </si>
  <si>
    <t>복은서</t>
  </si>
  <si>
    <t>임우철</t>
  </si>
  <si>
    <t>박현수</t>
  </si>
  <si>
    <t>허유나</t>
  </si>
  <si>
    <t>김지산</t>
  </si>
  <si>
    <t>문병욱</t>
  </si>
  <si>
    <t>김대영</t>
  </si>
  <si>
    <t>조영은</t>
  </si>
  <si>
    <t>이재훈</t>
  </si>
  <si>
    <t>정회성</t>
  </si>
  <si>
    <t>정현석</t>
  </si>
  <si>
    <t>김세영</t>
  </si>
  <si>
    <t>신원지</t>
  </si>
  <si>
    <t>박서준</t>
  </si>
  <si>
    <t>배성희</t>
  </si>
  <si>
    <t>최경규</t>
  </si>
  <si>
    <t>이예섭</t>
  </si>
  <si>
    <t>김경환</t>
  </si>
  <si>
    <t>오재권</t>
  </si>
  <si>
    <t>서정인</t>
  </si>
  <si>
    <t>안준혁</t>
  </si>
  <si>
    <t>최우혁</t>
  </si>
  <si>
    <t>김완호</t>
  </si>
  <si>
    <t>황상윤</t>
  </si>
  <si>
    <t>오헌경</t>
  </si>
  <si>
    <t>김홍태</t>
  </si>
  <si>
    <t>마상권</t>
  </si>
  <si>
    <t>이준영</t>
  </si>
  <si>
    <t>이훈휘</t>
  </si>
  <si>
    <t>권순환</t>
  </si>
  <si>
    <t>김요셉</t>
  </si>
  <si>
    <t>하재철</t>
  </si>
  <si>
    <t>신동훈</t>
  </si>
  <si>
    <t>김길용</t>
  </si>
  <si>
    <t>양승훈</t>
  </si>
  <si>
    <t>고석영</t>
  </si>
  <si>
    <t>박성규</t>
  </si>
  <si>
    <t>이상재</t>
  </si>
  <si>
    <t>신희용</t>
  </si>
  <si>
    <t>김민엽</t>
  </si>
  <si>
    <t>김현</t>
  </si>
  <si>
    <t>성별</t>
  </si>
  <si>
    <t>직위</t>
  </si>
  <si>
    <t>부서</t>
    <phoneticPr fontId="6" type="noConversion"/>
  </si>
  <si>
    <t>성명</t>
  </si>
  <si>
    <t>구분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</si>
</sst>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명&quot;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1" applyAlignment="1">
      <alignment horizontal="center"/>
    </xf>
    <xf numFmtId="0" fontId="1" fillId="0" borderId="1" xfId="1" applyFont="1" applyBorder="1" applyAlignment="1">
      <alignment horizontal="center"/>
    </xf>
    <xf numFmtId="176" fontId="1" fillId="0" borderId="1" xfId="1" applyNumberFormat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1" xfId="1" applyFont="1" applyBorder="1" applyAlignment="1">
      <alignment horizontal="center"/>
    </xf>
    <xf numFmtId="176" fontId="1" fillId="3" borderId="1" xfId="1" applyNumberFormat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0" borderId="0" xfId="1" applyFont="1" applyAlignment="1">
      <alignment horizontal="center" vertical="center"/>
    </xf>
    <xf numFmtId="176" fontId="1" fillId="4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176" fontId="1" fillId="2" borderId="1" xfId="1" applyNumberFormat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176" fontId="1" fillId="5" borderId="1" xfId="1" applyNumberFormat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176" fontId="1" fillId="3" borderId="1" xfId="1" applyNumberFormat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176" fontId="1" fillId="4" borderId="1" xfId="1" applyNumberFormat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176" fontId="1" fillId="2" borderId="1" xfId="1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top"/>
    </xf>
    <xf numFmtId="0" fontId="7" fillId="0" borderId="0" xfId="1" applyFont="1" applyAlignment="1">
      <alignment horizontal="center" vertical="top"/>
    </xf>
    <xf numFmtId="0" fontId="8" fillId="0" borderId="0" xfId="1" applyFont="1" applyAlignment="1">
      <alignment horizontal="center"/>
    </xf>
    <xf numFmtId="0" fontId="9" fillId="0" borderId="2" xfId="1" applyFont="1" applyBorder="1" applyAlignment="1">
      <alignment horizontal="center"/>
    </xf>
    <xf numFmtId="0" fontId="10" fillId="0" borderId="0" xfId="1" applyFont="1" applyAlignment="1">
      <alignment horizontal="center"/>
    </xf>
  </cellXfs>
  <cellStyles count="2">
    <cellStyle name="표준" xfId="0" builtinId="0"/>
    <cellStyle name="표준 2" xfId="1" xr:uid="{F196C65D-D0EF-47A5-9F5F-7B9DFAB4A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26&#45380;%20&#52404;&#50977;&#45824;&#54924;%20&#51068;&#51221;&#54364;%20-%20260428.xls" TargetMode="External"/><Relationship Id="rId2" Type="http://schemas.openxmlformats.org/officeDocument/2006/relationships/externalLinkPath" Target="file:///C:\Users\kimkh\Downloads\26&#45380;%20&#52404;&#50977;&#45824;&#54924;%20&#51068;&#51221;&#54364;%20-%20260428.xls" TargetMode="External"/><Relationship Id="rId1" Type="http://schemas.openxmlformats.org/officeDocument/2006/relationships/externalLinkPath" Target="/Users/kimkh/Downloads/26&#45380;%20&#52404;&#50977;&#45824;&#54924;%20&#51068;&#51221;&#54364;%20-%202604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4"/>
      <sheetName val="Sheet3"/>
      <sheetName val="연락망 "/>
      <sheetName val="20140414"/>
      <sheetName val="일정표"/>
      <sheetName val="일정표 - 피구제외"/>
      <sheetName val="Sheet1"/>
      <sheetName val="차량배정"/>
      <sheetName val="사원명부"/>
      <sheetName val="족구"/>
      <sheetName val="피구"/>
      <sheetName val="줄다리기"/>
      <sheetName val="축구"/>
      <sheetName val="Sheet5"/>
      <sheetName val="연락망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성명</v>
          </cell>
          <cell r="D1" t="str">
            <v>부서</v>
          </cell>
          <cell r="E1" t="str">
            <v>사번</v>
          </cell>
          <cell r="F1" t="str">
            <v>직위</v>
          </cell>
          <cell r="G1" t="str">
            <v>성별</v>
          </cell>
        </row>
        <row r="2">
          <cell r="C2" t="str">
            <v>김영훈</v>
          </cell>
          <cell r="D2" t="str">
            <v>전략기획실</v>
          </cell>
          <cell r="E2" t="str">
            <v>20200904</v>
          </cell>
          <cell r="F2" t="str">
            <v>수석</v>
          </cell>
          <cell r="G2" t="str">
            <v>남자</v>
          </cell>
        </row>
        <row r="3">
          <cell r="C3" t="str">
            <v>이섬결</v>
          </cell>
          <cell r="D3" t="str">
            <v>전략기획실</v>
          </cell>
          <cell r="E3" t="str">
            <v>20240103</v>
          </cell>
          <cell r="F3" t="str">
            <v>책임</v>
          </cell>
          <cell r="G3" t="str">
            <v>여자</v>
          </cell>
        </row>
        <row r="4">
          <cell r="C4" t="str">
            <v>양승원</v>
          </cell>
          <cell r="D4" t="str">
            <v>전략기획실</v>
          </cell>
          <cell r="E4" t="str">
            <v>20180516</v>
          </cell>
          <cell r="F4" t="str">
            <v>선임</v>
          </cell>
          <cell r="G4" t="str">
            <v>여자</v>
          </cell>
        </row>
        <row r="5">
          <cell r="C5" t="str">
            <v>지소휘</v>
          </cell>
          <cell r="D5" t="str">
            <v>전략기획실</v>
          </cell>
          <cell r="E5" t="str">
            <v>20201026</v>
          </cell>
          <cell r="F5" t="str">
            <v>전임</v>
          </cell>
          <cell r="G5" t="str">
            <v>여자</v>
          </cell>
        </row>
        <row r="6">
          <cell r="C6" t="str">
            <v>양재훈</v>
          </cell>
          <cell r="D6" t="str">
            <v>모빌리티개발팀</v>
          </cell>
          <cell r="E6" t="str">
            <v>20210503</v>
          </cell>
          <cell r="F6" t="str">
            <v>상무</v>
          </cell>
          <cell r="G6" t="str">
            <v>남자</v>
          </cell>
        </row>
        <row r="7">
          <cell r="C7" t="str">
            <v>김희창</v>
          </cell>
          <cell r="D7" t="str">
            <v>모빌리티개발팀</v>
          </cell>
          <cell r="E7" t="str">
            <v>20210308</v>
          </cell>
          <cell r="F7" t="str">
            <v>수석</v>
          </cell>
          <cell r="G7" t="str">
            <v>남자</v>
          </cell>
        </row>
        <row r="8">
          <cell r="C8" t="str">
            <v>이정호</v>
          </cell>
          <cell r="D8" t="str">
            <v>모빌리티개발팀</v>
          </cell>
          <cell r="E8" t="str">
            <v>20220418</v>
          </cell>
          <cell r="F8" t="str">
            <v>수석</v>
          </cell>
          <cell r="G8" t="str">
            <v>남자</v>
          </cell>
        </row>
        <row r="9">
          <cell r="C9" t="str">
            <v>이재욱</v>
          </cell>
          <cell r="D9" t="str">
            <v>모빌리티개발팀</v>
          </cell>
          <cell r="E9" t="str">
            <v>20200301</v>
          </cell>
          <cell r="F9" t="str">
            <v>책임</v>
          </cell>
          <cell r="G9" t="str">
            <v>남자</v>
          </cell>
        </row>
        <row r="10">
          <cell r="C10" t="str">
            <v>김민균</v>
          </cell>
          <cell r="D10" t="str">
            <v>모빌리티개발팀</v>
          </cell>
          <cell r="E10" t="str">
            <v>20220118</v>
          </cell>
          <cell r="F10" t="str">
            <v>전임</v>
          </cell>
          <cell r="G10" t="str">
            <v>남자</v>
          </cell>
        </row>
        <row r="11">
          <cell r="C11" t="str">
            <v>김선환</v>
          </cell>
          <cell r="D11" t="str">
            <v>모빌리티개발팀</v>
          </cell>
          <cell r="E11" t="str">
            <v>20230821</v>
          </cell>
          <cell r="F11" t="str">
            <v>연구원</v>
          </cell>
          <cell r="G11" t="str">
            <v>남자</v>
          </cell>
        </row>
        <row r="12">
          <cell r="C12" t="str">
            <v>서원택</v>
          </cell>
          <cell r="D12" t="str">
            <v>AI개발실</v>
          </cell>
          <cell r="E12" t="str">
            <v>20220705</v>
          </cell>
          <cell r="F12" t="str">
            <v>상무</v>
          </cell>
          <cell r="G12" t="str">
            <v>남자</v>
          </cell>
        </row>
        <row r="13">
          <cell r="C13" t="str">
            <v>심지우</v>
          </cell>
          <cell r="D13" t="str">
            <v>AI개발실</v>
          </cell>
          <cell r="E13" t="str">
            <v>20251013</v>
          </cell>
          <cell r="F13" t="str">
            <v>선임</v>
          </cell>
          <cell r="G13" t="str">
            <v>여자</v>
          </cell>
        </row>
        <row r="14">
          <cell r="C14" t="str">
            <v>윤성우</v>
          </cell>
          <cell r="D14" t="str">
            <v>AI개발실</v>
          </cell>
          <cell r="E14" t="str">
            <v>20221227</v>
          </cell>
          <cell r="F14" t="str">
            <v>전임</v>
          </cell>
          <cell r="G14" t="str">
            <v>남자</v>
          </cell>
        </row>
        <row r="15">
          <cell r="C15" t="str">
            <v>정주은</v>
          </cell>
          <cell r="D15" t="str">
            <v>AI개발실</v>
          </cell>
          <cell r="E15" t="str">
            <v>20230919</v>
          </cell>
          <cell r="F15" t="str">
            <v>전임</v>
          </cell>
          <cell r="G15" t="str">
            <v>여자</v>
          </cell>
        </row>
        <row r="16">
          <cell r="C16" t="str">
            <v>권혜정</v>
          </cell>
          <cell r="D16" t="str">
            <v>AI개발실</v>
          </cell>
          <cell r="E16" t="str">
            <v>20260212</v>
          </cell>
          <cell r="F16" t="str">
            <v>전임</v>
          </cell>
          <cell r="G16" t="str">
            <v>여자</v>
          </cell>
        </row>
        <row r="17">
          <cell r="C17" t="str">
            <v>이지호</v>
          </cell>
          <cell r="D17" t="str">
            <v>AI개발실</v>
          </cell>
          <cell r="E17" t="str">
            <v>20230904</v>
          </cell>
          <cell r="F17" t="str">
            <v>연구원</v>
          </cell>
          <cell r="G17" t="str">
            <v>남자</v>
          </cell>
        </row>
        <row r="18">
          <cell r="C18" t="str">
            <v>이상재</v>
          </cell>
          <cell r="D18" t="str">
            <v>운영기술개발실</v>
          </cell>
          <cell r="E18" t="str">
            <v>20201002</v>
          </cell>
          <cell r="F18" t="str">
            <v>상무</v>
          </cell>
          <cell r="G18" t="str">
            <v>남자</v>
          </cell>
        </row>
        <row r="19">
          <cell r="C19" t="str">
            <v>김길용</v>
          </cell>
          <cell r="D19" t="str">
            <v>운영기술개발실</v>
          </cell>
          <cell r="E19" t="str">
            <v>20250515</v>
          </cell>
          <cell r="F19" t="str">
            <v>수석</v>
          </cell>
          <cell r="G19" t="str">
            <v>남자</v>
          </cell>
        </row>
        <row r="20">
          <cell r="C20" t="str">
            <v>권순환</v>
          </cell>
          <cell r="D20" t="str">
            <v>운영기술개발실</v>
          </cell>
          <cell r="E20" t="str">
            <v>20250401</v>
          </cell>
          <cell r="F20" t="str">
            <v>전임</v>
          </cell>
          <cell r="G20" t="str">
            <v>남자</v>
          </cell>
        </row>
        <row r="21">
          <cell r="C21" t="str">
            <v>김홍태</v>
          </cell>
          <cell r="D21" t="str">
            <v>운영기술개발실</v>
          </cell>
          <cell r="E21" t="str">
            <v>20250825</v>
          </cell>
          <cell r="F21" t="str">
            <v>연구원</v>
          </cell>
          <cell r="G21" t="str">
            <v>남자</v>
          </cell>
        </row>
        <row r="22">
          <cell r="C22" t="str">
            <v>최우혁</v>
          </cell>
          <cell r="D22" t="str">
            <v>운영기술개발실</v>
          </cell>
          <cell r="E22" t="str">
            <v>20250826</v>
          </cell>
          <cell r="F22" t="str">
            <v>연구원</v>
          </cell>
          <cell r="G22" t="str">
            <v>남자</v>
          </cell>
        </row>
        <row r="23">
          <cell r="C23" t="str">
            <v>김경환</v>
          </cell>
          <cell r="D23" t="str">
            <v>운영기술개발실</v>
          </cell>
          <cell r="E23" t="str">
            <v>20250827</v>
          </cell>
          <cell r="F23" t="str">
            <v>연구원</v>
          </cell>
          <cell r="G23" t="str">
            <v>남자</v>
          </cell>
        </row>
        <row r="24">
          <cell r="C24" t="str">
            <v>박서준</v>
          </cell>
          <cell r="D24" t="str">
            <v>운영기술개발실</v>
          </cell>
          <cell r="E24" t="str">
            <v>20250828</v>
          </cell>
          <cell r="F24" t="str">
            <v>연구원</v>
          </cell>
          <cell r="G24" t="str">
            <v>남자</v>
          </cell>
        </row>
        <row r="25">
          <cell r="C25" t="str">
            <v>정회성</v>
          </cell>
          <cell r="D25" t="str">
            <v>운영기술개발실</v>
          </cell>
          <cell r="E25" t="str">
            <v>20250908</v>
          </cell>
          <cell r="F25" t="str">
            <v>연구원</v>
          </cell>
          <cell r="G25" t="str">
            <v>남자</v>
          </cell>
        </row>
        <row r="26">
          <cell r="C26" t="str">
            <v>문병욱</v>
          </cell>
          <cell r="D26" t="str">
            <v>CEO</v>
          </cell>
          <cell r="E26" t="str">
            <v>20080104</v>
          </cell>
          <cell r="F26" t="str">
            <v>대표이사</v>
          </cell>
          <cell r="G26" t="str">
            <v>남자</v>
          </cell>
        </row>
        <row r="27">
          <cell r="C27" t="str">
            <v>임우철</v>
          </cell>
          <cell r="D27" t="str">
            <v>경영지원팀</v>
          </cell>
          <cell r="E27" t="str">
            <v>20200108</v>
          </cell>
          <cell r="F27" t="str">
            <v>수석</v>
          </cell>
          <cell r="G27" t="str">
            <v>남자</v>
          </cell>
        </row>
        <row r="28">
          <cell r="C28" t="str">
            <v>장은영</v>
          </cell>
          <cell r="D28" t="str">
            <v>경영지원팀</v>
          </cell>
          <cell r="E28" t="str">
            <v>20050926</v>
          </cell>
          <cell r="F28" t="str">
            <v>책임</v>
          </cell>
          <cell r="G28" t="str">
            <v>여자</v>
          </cell>
        </row>
        <row r="29">
          <cell r="C29" t="str">
            <v>김민성</v>
          </cell>
          <cell r="D29" t="str">
            <v>경영지원팀</v>
          </cell>
          <cell r="E29" t="str">
            <v>20230406</v>
          </cell>
          <cell r="F29" t="str">
            <v>선임</v>
          </cell>
          <cell r="G29" t="str">
            <v>남자</v>
          </cell>
        </row>
        <row r="30">
          <cell r="C30" t="str">
            <v>이경진</v>
          </cell>
          <cell r="D30" t="str">
            <v>경영지원팀</v>
          </cell>
          <cell r="E30" t="str">
            <v>20260414</v>
          </cell>
          <cell r="F30" t="str">
            <v>선임</v>
          </cell>
          <cell r="G30" t="str">
            <v>여자</v>
          </cell>
        </row>
        <row r="31">
          <cell r="C31" t="str">
            <v>이혜진</v>
          </cell>
          <cell r="D31" t="str">
            <v>경영지원팀</v>
          </cell>
          <cell r="E31" t="str">
            <v>20180122</v>
          </cell>
          <cell r="F31" t="str">
            <v>전임</v>
          </cell>
          <cell r="G31" t="str">
            <v>여자</v>
          </cell>
        </row>
        <row r="32">
          <cell r="C32" t="str">
            <v>허단비</v>
          </cell>
          <cell r="D32" t="str">
            <v>경영지원팀</v>
          </cell>
          <cell r="E32" t="str">
            <v>20250305</v>
          </cell>
          <cell r="F32" t="str">
            <v>전임</v>
          </cell>
          <cell r="G32" t="str">
            <v>여자</v>
          </cell>
        </row>
        <row r="33">
          <cell r="C33" t="str">
            <v>지경민</v>
          </cell>
          <cell r="D33" t="str">
            <v>구매팀</v>
          </cell>
          <cell r="E33" t="str">
            <v>20211206</v>
          </cell>
          <cell r="F33" t="str">
            <v>책임</v>
          </cell>
          <cell r="G33" t="str">
            <v>남자</v>
          </cell>
        </row>
        <row r="34">
          <cell r="C34" t="str">
            <v>김은정</v>
          </cell>
          <cell r="D34" t="str">
            <v>R&amp;D지원팀</v>
          </cell>
          <cell r="E34" t="str">
            <v>20190917</v>
          </cell>
          <cell r="F34" t="str">
            <v>선임</v>
          </cell>
          <cell r="G34" t="str">
            <v>여자</v>
          </cell>
        </row>
        <row r="35">
          <cell r="C35" t="str">
            <v>조아라</v>
          </cell>
          <cell r="D35" t="str">
            <v>R&amp;D지원팀</v>
          </cell>
          <cell r="E35" t="str">
            <v>20211025</v>
          </cell>
          <cell r="F35" t="str">
            <v>전임</v>
          </cell>
          <cell r="G35" t="str">
            <v>여자</v>
          </cell>
        </row>
        <row r="36">
          <cell r="C36" t="str">
            <v>신현빈</v>
          </cell>
          <cell r="D36" t="str">
            <v>모빌리티사업부</v>
          </cell>
          <cell r="E36" t="str">
            <v>20190218</v>
          </cell>
          <cell r="F36" t="str">
            <v>수석</v>
          </cell>
          <cell r="G36" t="str">
            <v>남자</v>
          </cell>
        </row>
        <row r="37">
          <cell r="C37" t="str">
            <v>한영석</v>
          </cell>
          <cell r="D37" t="str">
            <v>모빌리티사업1팀</v>
          </cell>
          <cell r="E37" t="str">
            <v>20200903</v>
          </cell>
          <cell r="F37" t="str">
            <v>수석</v>
          </cell>
          <cell r="G37" t="str">
            <v>남자</v>
          </cell>
        </row>
        <row r="38">
          <cell r="C38" t="str">
            <v>은준우</v>
          </cell>
          <cell r="D38" t="str">
            <v>모빌리티사업1팀</v>
          </cell>
          <cell r="E38" t="str">
            <v>20240618</v>
          </cell>
          <cell r="F38" t="str">
            <v>선임</v>
          </cell>
          <cell r="G38" t="str">
            <v>남자</v>
          </cell>
        </row>
        <row r="39">
          <cell r="C39" t="str">
            <v>이수빈</v>
          </cell>
          <cell r="D39" t="str">
            <v>모빌리티사업1팀</v>
          </cell>
          <cell r="E39" t="str">
            <v>20231018</v>
          </cell>
          <cell r="F39" t="str">
            <v>사원</v>
          </cell>
          <cell r="G39" t="str">
            <v>여자</v>
          </cell>
        </row>
        <row r="40">
          <cell r="C40" t="str">
            <v>정기현</v>
          </cell>
          <cell r="D40" t="str">
            <v>모빌리티사업2팀</v>
          </cell>
          <cell r="E40" t="str">
            <v>20100218</v>
          </cell>
          <cell r="F40" t="str">
            <v>수석</v>
          </cell>
          <cell r="G40" t="str">
            <v>남자</v>
          </cell>
        </row>
        <row r="41">
          <cell r="C41" t="str">
            <v>송우진</v>
          </cell>
          <cell r="D41" t="str">
            <v>모빌리티사업2팀</v>
          </cell>
          <cell r="E41" t="str">
            <v>20221121</v>
          </cell>
          <cell r="F41" t="str">
            <v>책임</v>
          </cell>
          <cell r="G41" t="str">
            <v>남자</v>
          </cell>
        </row>
        <row r="42">
          <cell r="C42" t="str">
            <v>하정효</v>
          </cell>
          <cell r="D42" t="str">
            <v>모빌리티사업2팀</v>
          </cell>
          <cell r="E42" t="str">
            <v>20251110</v>
          </cell>
          <cell r="F42" t="str">
            <v>책임</v>
          </cell>
          <cell r="G42" t="str">
            <v>남자</v>
          </cell>
        </row>
        <row r="43">
          <cell r="C43" t="str">
            <v>김완재</v>
          </cell>
          <cell r="D43" t="str">
            <v>모빌리티사업2팀</v>
          </cell>
          <cell r="E43" t="str">
            <v>20151214</v>
          </cell>
          <cell r="F43" t="str">
            <v>선임</v>
          </cell>
          <cell r="G43" t="str">
            <v>남자</v>
          </cell>
        </row>
        <row r="44">
          <cell r="C44" t="str">
            <v>김다운</v>
          </cell>
          <cell r="D44" t="str">
            <v>모빌리티사업2팀</v>
          </cell>
          <cell r="E44" t="str">
            <v>20250616</v>
          </cell>
          <cell r="F44" t="str">
            <v>연구원</v>
          </cell>
          <cell r="G44" t="str">
            <v>여자</v>
          </cell>
        </row>
        <row r="45">
          <cell r="C45" t="str">
            <v>김영심</v>
          </cell>
          <cell r="D45" t="str">
            <v>모빌리티사업2팀</v>
          </cell>
          <cell r="E45" t="str">
            <v>20211102</v>
          </cell>
          <cell r="F45" t="str">
            <v>사원</v>
          </cell>
          <cell r="G45" t="str">
            <v>여자</v>
          </cell>
        </row>
        <row r="46">
          <cell r="C46" t="str">
            <v>하재술</v>
          </cell>
          <cell r="D46" t="str">
            <v>자문위원</v>
          </cell>
          <cell r="E46" t="str">
            <v>20250201</v>
          </cell>
          <cell r="F46" t="str">
            <v>고문</v>
          </cell>
          <cell r="G46" t="str">
            <v>남자</v>
          </cell>
        </row>
        <row r="47">
          <cell r="C47" t="str">
            <v>이권우</v>
          </cell>
          <cell r="D47" t="str">
            <v>영업대표 - 전략사업</v>
          </cell>
          <cell r="E47" t="str">
            <v>20060926</v>
          </cell>
          <cell r="F47" t="str">
            <v>전무</v>
          </cell>
          <cell r="G47" t="str">
            <v>남자</v>
          </cell>
        </row>
        <row r="48">
          <cell r="C48" t="str">
            <v>박진우</v>
          </cell>
          <cell r="D48" t="str">
            <v>영업대표 - 전략사업</v>
          </cell>
          <cell r="E48" t="str">
            <v>20240102</v>
          </cell>
          <cell r="F48" t="str">
            <v>연구원</v>
          </cell>
          <cell r="G48" t="str">
            <v>남자</v>
          </cell>
        </row>
        <row r="49">
          <cell r="C49" t="str">
            <v>김창민</v>
          </cell>
          <cell r="D49" t="str">
            <v>영업대표 - 공공부문</v>
          </cell>
          <cell r="E49" t="str">
            <v>20020702</v>
          </cell>
          <cell r="F49" t="str">
            <v>상무</v>
          </cell>
          <cell r="G49" t="str">
            <v>남자</v>
          </cell>
        </row>
        <row r="50">
          <cell r="C50" t="str">
            <v>박상규</v>
          </cell>
          <cell r="D50" t="str">
            <v>영업대표 - 공공부문</v>
          </cell>
          <cell r="E50" t="str">
            <v>20080128</v>
          </cell>
          <cell r="F50" t="str">
            <v>수석</v>
          </cell>
          <cell r="G50" t="str">
            <v>남자</v>
          </cell>
        </row>
        <row r="51">
          <cell r="C51" t="str">
            <v>남정찬</v>
          </cell>
          <cell r="D51" t="str">
            <v>영업대표 - 공공부문</v>
          </cell>
          <cell r="E51" t="str">
            <v>20251202</v>
          </cell>
          <cell r="F51" t="str">
            <v>전임</v>
          </cell>
          <cell r="G51" t="str">
            <v>남자</v>
          </cell>
        </row>
        <row r="52">
          <cell r="C52" t="str">
            <v>한규혁</v>
          </cell>
          <cell r="D52" t="str">
            <v>항해통신사업부</v>
          </cell>
          <cell r="E52" t="str">
            <v>20220502</v>
          </cell>
          <cell r="F52" t="str">
            <v>수석</v>
          </cell>
          <cell r="G52" t="str">
            <v>남자</v>
          </cell>
        </row>
        <row r="53">
          <cell r="C53" t="str">
            <v>황준호</v>
          </cell>
          <cell r="D53" t="str">
            <v>항해통신사업1팀</v>
          </cell>
          <cell r="E53" t="str">
            <v>20200909</v>
          </cell>
          <cell r="F53" t="str">
            <v>수석</v>
          </cell>
          <cell r="G53" t="str">
            <v>남자</v>
          </cell>
        </row>
        <row r="54">
          <cell r="C54" t="str">
            <v>신진우</v>
          </cell>
          <cell r="D54" t="str">
            <v>항해통신사업1팀</v>
          </cell>
          <cell r="E54" t="str">
            <v>20190716</v>
          </cell>
          <cell r="F54" t="str">
            <v>선임</v>
          </cell>
          <cell r="G54" t="str">
            <v>남자</v>
          </cell>
        </row>
        <row r="55">
          <cell r="C55" t="str">
            <v>노재원</v>
          </cell>
          <cell r="D55" t="str">
            <v>항해통신사업1팀</v>
          </cell>
          <cell r="E55" t="str">
            <v>20200211</v>
          </cell>
          <cell r="F55" t="str">
            <v>전임</v>
          </cell>
          <cell r="G55" t="str">
            <v>남자</v>
          </cell>
        </row>
        <row r="56">
          <cell r="C56" t="str">
            <v>이준혁</v>
          </cell>
          <cell r="D56" t="str">
            <v>항해통신사업1팀</v>
          </cell>
          <cell r="E56" t="str">
            <v>20200901</v>
          </cell>
          <cell r="F56" t="str">
            <v>전임</v>
          </cell>
          <cell r="G56" t="str">
            <v>남자</v>
          </cell>
        </row>
        <row r="57">
          <cell r="C57" t="str">
            <v>김주영</v>
          </cell>
          <cell r="D57" t="str">
            <v>항해통신사업1팀</v>
          </cell>
          <cell r="E57" t="str">
            <v>20250902</v>
          </cell>
          <cell r="F57" t="str">
            <v>전임</v>
          </cell>
          <cell r="G57" t="str">
            <v>남자</v>
          </cell>
        </row>
        <row r="58">
          <cell r="C58" t="str">
            <v>박상일</v>
          </cell>
          <cell r="D58" t="str">
            <v>항해통신사업2팀</v>
          </cell>
          <cell r="E58" t="str">
            <v>20120612</v>
          </cell>
          <cell r="F58" t="str">
            <v>수석</v>
          </cell>
          <cell r="G58" t="str">
            <v>남자</v>
          </cell>
        </row>
        <row r="59">
          <cell r="C59" t="str">
            <v>이의용</v>
          </cell>
          <cell r="D59" t="str">
            <v>항해통신사업2팀</v>
          </cell>
          <cell r="E59" t="str">
            <v>20150210</v>
          </cell>
          <cell r="F59" t="str">
            <v>수석</v>
          </cell>
          <cell r="G59" t="str">
            <v>남자</v>
          </cell>
        </row>
        <row r="60">
          <cell r="C60" t="str">
            <v>강동석</v>
          </cell>
          <cell r="D60" t="str">
            <v>항해통신사업2팀</v>
          </cell>
          <cell r="E60" t="str">
            <v>20170109</v>
          </cell>
          <cell r="F60" t="str">
            <v>수석</v>
          </cell>
          <cell r="G60" t="str">
            <v>남자</v>
          </cell>
        </row>
        <row r="61">
          <cell r="C61" t="str">
            <v>이신용</v>
          </cell>
          <cell r="D61" t="str">
            <v>항해통신사업2팀</v>
          </cell>
          <cell r="E61" t="str">
            <v>20180201</v>
          </cell>
          <cell r="F61" t="str">
            <v>수석</v>
          </cell>
          <cell r="G61" t="str">
            <v>남자</v>
          </cell>
        </row>
        <row r="62">
          <cell r="C62" t="str">
            <v>송유신</v>
          </cell>
          <cell r="D62" t="str">
            <v>항해통신사업2팀</v>
          </cell>
          <cell r="E62" t="str">
            <v>20250310</v>
          </cell>
          <cell r="F62" t="str">
            <v>수석</v>
          </cell>
          <cell r="G62" t="str">
            <v>남자</v>
          </cell>
        </row>
        <row r="63">
          <cell r="C63" t="str">
            <v>이강호</v>
          </cell>
          <cell r="D63" t="str">
            <v>항해통신사업2팀</v>
          </cell>
          <cell r="E63" t="str">
            <v>20170320</v>
          </cell>
          <cell r="F63" t="str">
            <v>책임</v>
          </cell>
          <cell r="G63" t="str">
            <v>남자</v>
          </cell>
        </row>
        <row r="64">
          <cell r="C64" t="str">
            <v>이기석</v>
          </cell>
          <cell r="D64" t="str">
            <v>항해통신사업2팀</v>
          </cell>
          <cell r="E64" t="str">
            <v>20150211</v>
          </cell>
          <cell r="F64" t="str">
            <v>선임</v>
          </cell>
          <cell r="G64" t="str">
            <v>남자</v>
          </cell>
        </row>
        <row r="65">
          <cell r="C65" t="str">
            <v>고병용</v>
          </cell>
          <cell r="D65" t="str">
            <v>항해통신사업2팀</v>
          </cell>
          <cell r="E65" t="str">
            <v>20200219</v>
          </cell>
          <cell r="F65" t="str">
            <v>전임</v>
          </cell>
          <cell r="G65" t="str">
            <v>남자</v>
          </cell>
        </row>
        <row r="66">
          <cell r="C66" t="str">
            <v>박형호</v>
          </cell>
          <cell r="D66" t="str">
            <v>항해통신사업2팀</v>
          </cell>
          <cell r="E66" t="str">
            <v>20200824</v>
          </cell>
          <cell r="F66" t="str">
            <v>전임</v>
          </cell>
          <cell r="G66" t="str">
            <v>남자</v>
          </cell>
        </row>
        <row r="67">
          <cell r="C67" t="str">
            <v>김도훈</v>
          </cell>
          <cell r="D67" t="str">
            <v>항해통신사업2팀</v>
          </cell>
          <cell r="E67" t="str">
            <v>20250924</v>
          </cell>
          <cell r="F67" t="str">
            <v>전임</v>
          </cell>
          <cell r="G67" t="str">
            <v>남자</v>
          </cell>
        </row>
        <row r="68">
          <cell r="C68" t="str">
            <v>박관웅</v>
          </cell>
          <cell r="D68" t="str">
            <v>항해통신사업2팀</v>
          </cell>
          <cell r="E68" t="str">
            <v>20221205</v>
          </cell>
          <cell r="F68" t="str">
            <v>연구원</v>
          </cell>
          <cell r="G68" t="str">
            <v>남자</v>
          </cell>
        </row>
        <row r="69">
          <cell r="C69" t="str">
            <v>송용학</v>
          </cell>
          <cell r="D69" t="str">
            <v>항행관제사업부</v>
          </cell>
          <cell r="E69" t="str">
            <v>20031110</v>
          </cell>
          <cell r="F69" t="str">
            <v>이사</v>
          </cell>
          <cell r="G69" t="str">
            <v>남자</v>
          </cell>
        </row>
        <row r="70">
          <cell r="C70" t="str">
            <v>양승호</v>
          </cell>
          <cell r="D70" t="str">
            <v>항행관제사업부</v>
          </cell>
          <cell r="E70" t="str">
            <v>20200902</v>
          </cell>
          <cell r="F70" t="str">
            <v>이사</v>
          </cell>
          <cell r="G70" t="str">
            <v>남자</v>
          </cell>
        </row>
        <row r="71">
          <cell r="C71" t="str">
            <v>김현근</v>
          </cell>
          <cell r="D71" t="str">
            <v>항행관제사업1팀</v>
          </cell>
          <cell r="E71" t="str">
            <v>20150902</v>
          </cell>
          <cell r="F71" t="str">
            <v>책임</v>
          </cell>
          <cell r="G71" t="str">
            <v>남자</v>
          </cell>
        </row>
        <row r="72">
          <cell r="C72" t="str">
            <v>노수기</v>
          </cell>
          <cell r="D72" t="str">
            <v>항행관제사업1팀</v>
          </cell>
          <cell r="E72" t="str">
            <v>20220208</v>
          </cell>
          <cell r="F72" t="str">
            <v>선임</v>
          </cell>
          <cell r="G72" t="str">
            <v>남자</v>
          </cell>
        </row>
        <row r="73">
          <cell r="C73" t="str">
            <v>장호철</v>
          </cell>
          <cell r="D73" t="str">
            <v>항행관제사업1팀</v>
          </cell>
          <cell r="E73" t="str">
            <v>20260112</v>
          </cell>
          <cell r="F73" t="str">
            <v>선임</v>
          </cell>
          <cell r="G73" t="str">
            <v>남자</v>
          </cell>
        </row>
        <row r="74">
          <cell r="C74" t="str">
            <v>김서현</v>
          </cell>
          <cell r="D74" t="str">
            <v>항행관제사업1팀</v>
          </cell>
          <cell r="E74" t="str">
            <v>20230410</v>
          </cell>
          <cell r="F74" t="str">
            <v>연구원</v>
          </cell>
          <cell r="G74" t="str">
            <v>여자</v>
          </cell>
        </row>
        <row r="75">
          <cell r="C75" t="str">
            <v>김일웅</v>
          </cell>
          <cell r="D75" t="str">
            <v>항행관제사업2팀</v>
          </cell>
          <cell r="E75" t="str">
            <v>20220718</v>
          </cell>
          <cell r="F75" t="str">
            <v>수석</v>
          </cell>
          <cell r="G75" t="str">
            <v>남자</v>
          </cell>
        </row>
        <row r="76">
          <cell r="C76" t="str">
            <v>오병희</v>
          </cell>
          <cell r="D76" t="str">
            <v>항행관제사업2팀</v>
          </cell>
          <cell r="E76" t="str">
            <v>20221128</v>
          </cell>
          <cell r="F76" t="str">
            <v>선임</v>
          </cell>
          <cell r="G76" t="str">
            <v>남자</v>
          </cell>
        </row>
        <row r="77">
          <cell r="C77" t="str">
            <v>윤태상</v>
          </cell>
          <cell r="D77" t="str">
            <v>항행관제사업2팀</v>
          </cell>
          <cell r="E77" t="str">
            <v>20241007</v>
          </cell>
          <cell r="F77" t="str">
            <v>연구원</v>
          </cell>
          <cell r="G77" t="str">
            <v>남자</v>
          </cell>
        </row>
        <row r="78">
          <cell r="C78" t="str">
            <v>심지열</v>
          </cell>
          <cell r="D78" t="str">
            <v>항행관제사업2팀</v>
          </cell>
          <cell r="E78" t="str">
            <v>20250507</v>
          </cell>
          <cell r="F78" t="str">
            <v>연구원</v>
          </cell>
          <cell r="G78" t="str">
            <v>남자</v>
          </cell>
        </row>
        <row r="79">
          <cell r="C79" t="str">
            <v>김다해</v>
          </cell>
          <cell r="D79" t="str">
            <v>항행관제사업2팀</v>
          </cell>
          <cell r="E79" t="str">
            <v>20250609</v>
          </cell>
          <cell r="F79" t="str">
            <v>사원</v>
          </cell>
          <cell r="G79" t="str">
            <v>여자</v>
          </cell>
        </row>
        <row r="80">
          <cell r="C80" t="str">
            <v>주현석</v>
          </cell>
          <cell r="D80" t="str">
            <v>에너지사업부</v>
          </cell>
          <cell r="E80" t="str">
            <v>20170215</v>
          </cell>
          <cell r="F80" t="str">
            <v>상무</v>
          </cell>
          <cell r="G80" t="str">
            <v>남자</v>
          </cell>
        </row>
        <row r="81">
          <cell r="C81" t="str">
            <v>최재연</v>
          </cell>
          <cell r="D81" t="str">
            <v>에너지사업부</v>
          </cell>
          <cell r="E81" t="str">
            <v>20220701</v>
          </cell>
          <cell r="F81" t="str">
            <v>수석</v>
          </cell>
          <cell r="G81" t="str">
            <v>남자</v>
          </cell>
        </row>
        <row r="82">
          <cell r="C82" t="str">
            <v>김태민</v>
          </cell>
          <cell r="D82" t="str">
            <v>에너지사업부</v>
          </cell>
          <cell r="E82" t="str">
            <v>20210601</v>
          </cell>
          <cell r="F82" t="str">
            <v>책임</v>
          </cell>
          <cell r="G82" t="str">
            <v>남자</v>
          </cell>
        </row>
        <row r="83">
          <cell r="C83" t="str">
            <v>이선호</v>
          </cell>
          <cell r="D83" t="str">
            <v>에너지사업부</v>
          </cell>
          <cell r="E83" t="str">
            <v>20230302</v>
          </cell>
          <cell r="F83" t="str">
            <v>전임</v>
          </cell>
          <cell r="G83" t="str">
            <v>남자</v>
          </cell>
        </row>
        <row r="84">
          <cell r="C84" t="str">
            <v>이덕수</v>
          </cell>
          <cell r="D84" t="str">
            <v>에너지사업부</v>
          </cell>
          <cell r="E84" t="str">
            <v>20220704</v>
          </cell>
          <cell r="F84" t="str">
            <v>이사</v>
          </cell>
          <cell r="G84" t="str">
            <v>남자</v>
          </cell>
        </row>
        <row r="85">
          <cell r="C85" t="str">
            <v>김태식</v>
          </cell>
          <cell r="D85" t="str">
            <v>지능형해상교통사업부</v>
          </cell>
          <cell r="E85" t="str">
            <v>20110321</v>
          </cell>
          <cell r="F85" t="str">
            <v>상무</v>
          </cell>
          <cell r="G85" t="str">
            <v>남자</v>
          </cell>
        </row>
        <row r="86">
          <cell r="C86" t="str">
            <v>김영실</v>
          </cell>
          <cell r="D86" t="str">
            <v>사업기획팀</v>
          </cell>
          <cell r="E86" t="str">
            <v>20250306</v>
          </cell>
          <cell r="F86" t="str">
            <v>선임</v>
          </cell>
          <cell r="G86" t="str">
            <v>여자</v>
          </cell>
        </row>
        <row r="87">
          <cell r="C87" t="str">
            <v>허지원</v>
          </cell>
          <cell r="D87" t="str">
            <v>사업기획팀</v>
          </cell>
          <cell r="E87" t="str">
            <v>20190826</v>
          </cell>
          <cell r="F87" t="str">
            <v>전임</v>
          </cell>
          <cell r="G87" t="str">
            <v>여자</v>
          </cell>
        </row>
        <row r="88">
          <cell r="C88" t="str">
            <v>이동규</v>
          </cell>
          <cell r="D88" t="str">
            <v>사업수행팀</v>
          </cell>
          <cell r="E88" t="str">
            <v>20150817</v>
          </cell>
          <cell r="F88" t="str">
            <v>책임</v>
          </cell>
          <cell r="G88" t="str">
            <v>남자</v>
          </cell>
        </row>
        <row r="89">
          <cell r="C89" t="str">
            <v>문성대</v>
          </cell>
          <cell r="D89" t="str">
            <v>사업수행팀</v>
          </cell>
          <cell r="E89" t="str">
            <v>20250214</v>
          </cell>
          <cell r="F89" t="str">
            <v>책임</v>
          </cell>
          <cell r="G89" t="str">
            <v>남자</v>
          </cell>
        </row>
        <row r="90">
          <cell r="C90" t="str">
            <v>정성윤</v>
          </cell>
          <cell r="D90" t="str">
            <v>사업수행팀</v>
          </cell>
          <cell r="E90" t="str">
            <v>20250220</v>
          </cell>
          <cell r="F90" t="str">
            <v>선임</v>
          </cell>
          <cell r="G90" t="str">
            <v>남자</v>
          </cell>
        </row>
        <row r="91">
          <cell r="C91" t="str">
            <v>남우준</v>
          </cell>
          <cell r="D91" t="str">
            <v>사업수행팀</v>
          </cell>
          <cell r="E91" t="str">
            <v>20230418</v>
          </cell>
          <cell r="F91" t="str">
            <v>전임</v>
          </cell>
          <cell r="G91" t="str">
            <v>남자</v>
          </cell>
        </row>
        <row r="92">
          <cell r="C92" t="str">
            <v>문준석</v>
          </cell>
          <cell r="D92" t="str">
            <v>사업수행팀</v>
          </cell>
          <cell r="E92" t="str">
            <v>20250218</v>
          </cell>
          <cell r="F92" t="str">
            <v>전임</v>
          </cell>
          <cell r="G92" t="str">
            <v>남자</v>
          </cell>
        </row>
        <row r="93">
          <cell r="C93" t="str">
            <v>구현수</v>
          </cell>
          <cell r="D93" t="str">
            <v>사업수행팀</v>
          </cell>
          <cell r="E93" t="str">
            <v>20250219</v>
          </cell>
          <cell r="F93" t="str">
            <v>전임</v>
          </cell>
          <cell r="G93" t="str">
            <v>남자</v>
          </cell>
        </row>
        <row r="94">
          <cell r="C94" t="str">
            <v>최성복</v>
          </cell>
          <cell r="D94" t="str">
            <v>사업수행팀</v>
          </cell>
          <cell r="E94" t="str">
            <v>20250215</v>
          </cell>
          <cell r="F94" t="str">
            <v>연구원</v>
          </cell>
          <cell r="G94" t="str">
            <v>남자</v>
          </cell>
        </row>
        <row r="95">
          <cell r="C95" t="str">
            <v>이지우</v>
          </cell>
          <cell r="D95" t="str">
            <v>사업수행팀</v>
          </cell>
          <cell r="E95" t="str">
            <v>20250216</v>
          </cell>
          <cell r="F95" t="str">
            <v>연구원</v>
          </cell>
          <cell r="G95" t="str">
            <v>남자</v>
          </cell>
        </row>
        <row r="96">
          <cell r="C96" t="str">
            <v>조유민</v>
          </cell>
          <cell r="D96" t="str">
            <v>사업수행팀</v>
          </cell>
          <cell r="E96" t="str">
            <v>20250217</v>
          </cell>
          <cell r="F96" t="str">
            <v>연구원</v>
          </cell>
          <cell r="G96" t="str">
            <v>남자</v>
          </cell>
        </row>
        <row r="97">
          <cell r="C97" t="str">
            <v>홍영호</v>
          </cell>
          <cell r="D97" t="str">
            <v>사업수행팀</v>
          </cell>
          <cell r="E97" t="str">
            <v>20260202</v>
          </cell>
          <cell r="F97" t="str">
            <v>연구원</v>
          </cell>
          <cell r="G97" t="str">
            <v>남자</v>
          </cell>
        </row>
        <row r="98">
          <cell r="C98" t="str">
            <v>신희용</v>
          </cell>
          <cell r="D98" t="str">
            <v>솔루션사업부</v>
          </cell>
          <cell r="E98" t="str">
            <v>20170201</v>
          </cell>
          <cell r="F98" t="str">
            <v>책임</v>
          </cell>
          <cell r="G98" t="str">
            <v>남자</v>
          </cell>
        </row>
        <row r="99">
          <cell r="C99" t="str">
            <v>양승훈</v>
          </cell>
          <cell r="D99" t="str">
            <v>솔루션사업부</v>
          </cell>
          <cell r="E99" t="str">
            <v>20171001</v>
          </cell>
          <cell r="F99" t="str">
            <v>책임</v>
          </cell>
          <cell r="G99" t="str">
            <v>남자</v>
          </cell>
        </row>
        <row r="100">
          <cell r="C100" t="str">
            <v>김요셉</v>
          </cell>
          <cell r="D100" t="str">
            <v>솔루션사업부</v>
          </cell>
          <cell r="E100" t="str">
            <v>20240104</v>
          </cell>
          <cell r="F100" t="str">
            <v>책임</v>
          </cell>
          <cell r="G100" t="str">
            <v>남자</v>
          </cell>
        </row>
        <row r="101">
          <cell r="C101" t="str">
            <v>마상권</v>
          </cell>
          <cell r="D101" t="str">
            <v>솔루션사업부</v>
          </cell>
          <cell r="E101" t="str">
            <v>20240129</v>
          </cell>
          <cell r="F101" t="str">
            <v>책임</v>
          </cell>
          <cell r="G101" t="str">
            <v>남자</v>
          </cell>
        </row>
        <row r="102">
          <cell r="C102" t="str">
            <v>김완호</v>
          </cell>
          <cell r="D102" t="str">
            <v>솔루션사업부</v>
          </cell>
          <cell r="E102" t="str">
            <v>20180219</v>
          </cell>
          <cell r="F102" t="str">
            <v>선임</v>
          </cell>
          <cell r="G102" t="str">
            <v>남자</v>
          </cell>
        </row>
        <row r="103">
          <cell r="C103" t="str">
            <v>오재권</v>
          </cell>
          <cell r="D103" t="str">
            <v>솔루션사업부</v>
          </cell>
          <cell r="E103" t="str">
            <v>20210721</v>
          </cell>
          <cell r="F103" t="str">
            <v>선임</v>
          </cell>
          <cell r="G103" t="str">
            <v>남자</v>
          </cell>
        </row>
        <row r="104">
          <cell r="C104" t="str">
            <v>배성희</v>
          </cell>
          <cell r="D104" t="str">
            <v>솔루션사업부</v>
          </cell>
          <cell r="E104" t="str">
            <v>20220817</v>
          </cell>
          <cell r="F104" t="str">
            <v>전임</v>
          </cell>
          <cell r="G104" t="str">
            <v>여자</v>
          </cell>
        </row>
        <row r="105">
          <cell r="C105" t="str">
            <v>정현석</v>
          </cell>
          <cell r="D105" t="str">
            <v>솔루션사업부</v>
          </cell>
          <cell r="E105" t="str">
            <v>20240805</v>
          </cell>
          <cell r="F105" t="str">
            <v>전임</v>
          </cell>
          <cell r="G105" t="str">
            <v>남자</v>
          </cell>
        </row>
        <row r="106">
          <cell r="C106" t="str">
            <v>김대영</v>
          </cell>
          <cell r="D106" t="str">
            <v>솔루션사업부</v>
          </cell>
          <cell r="E106" t="str">
            <v>20250106</v>
          </cell>
          <cell r="F106" t="str">
            <v>연구원</v>
          </cell>
          <cell r="G106" t="str">
            <v>남자</v>
          </cell>
        </row>
        <row r="107">
          <cell r="C107" t="str">
            <v>박현수</v>
          </cell>
          <cell r="D107" t="str">
            <v>솔루션사업부</v>
          </cell>
          <cell r="E107" t="str">
            <v>20260223</v>
          </cell>
          <cell r="F107" t="str">
            <v>연구원</v>
          </cell>
          <cell r="G107" t="str">
            <v>남자</v>
          </cell>
        </row>
        <row r="108">
          <cell r="C108" t="str">
            <v>이수정</v>
          </cell>
          <cell r="D108" t="str">
            <v>솔루션사업부</v>
          </cell>
          <cell r="E108" t="str">
            <v>20260624</v>
          </cell>
          <cell r="F108" t="str">
            <v>연구원</v>
          </cell>
          <cell r="G108" t="str">
            <v>여자</v>
          </cell>
        </row>
        <row r="109">
          <cell r="C109" t="str">
            <v>정태창</v>
          </cell>
          <cell r="D109" t="str">
            <v>솔루션사업부</v>
          </cell>
          <cell r="E109" t="str">
            <v>20060405</v>
          </cell>
          <cell r="F109" t="str">
            <v>이사</v>
          </cell>
          <cell r="G109" t="str">
            <v>남자</v>
          </cell>
        </row>
        <row r="110">
          <cell r="C110" t="str">
            <v>김민엽</v>
          </cell>
          <cell r="D110" t="str">
            <v>ICT사업부</v>
          </cell>
          <cell r="E110" t="str">
            <v>20070521</v>
          </cell>
          <cell r="F110" t="str">
            <v>상무</v>
          </cell>
          <cell r="G110" t="str">
            <v>남자</v>
          </cell>
        </row>
        <row r="111">
          <cell r="C111" t="str">
            <v>고석영</v>
          </cell>
          <cell r="D111" t="str">
            <v>SM사업팀</v>
          </cell>
          <cell r="E111" t="str">
            <v>20150126</v>
          </cell>
          <cell r="F111" t="str">
            <v>책임</v>
          </cell>
          <cell r="G111" t="str">
            <v>남자</v>
          </cell>
        </row>
        <row r="112">
          <cell r="C112" t="str">
            <v>하재철</v>
          </cell>
          <cell r="D112" t="str">
            <v>SM사업팀</v>
          </cell>
          <cell r="E112" t="str">
            <v>20220322</v>
          </cell>
          <cell r="F112" t="str">
            <v>전임</v>
          </cell>
          <cell r="G112" t="str">
            <v>남자</v>
          </cell>
        </row>
        <row r="113">
          <cell r="C113" t="str">
            <v>이준영</v>
          </cell>
          <cell r="D113" t="str">
            <v>SM사업팀</v>
          </cell>
          <cell r="E113" t="str">
            <v>20220725</v>
          </cell>
          <cell r="F113" t="str">
            <v>전임</v>
          </cell>
          <cell r="G113" t="str">
            <v>남자</v>
          </cell>
        </row>
        <row r="114">
          <cell r="C114" t="str">
            <v>황상윤</v>
          </cell>
          <cell r="D114" t="str">
            <v>SM사업팀</v>
          </cell>
          <cell r="E114" t="str">
            <v>20221020</v>
          </cell>
          <cell r="F114" t="str">
            <v>전임</v>
          </cell>
          <cell r="G114" t="str">
            <v>남자</v>
          </cell>
        </row>
        <row r="115">
          <cell r="C115" t="str">
            <v>서정인</v>
          </cell>
          <cell r="D115" t="str">
            <v>SM사업팀</v>
          </cell>
          <cell r="E115" t="str">
            <v>20250120</v>
          </cell>
          <cell r="F115" t="str">
            <v>전임</v>
          </cell>
          <cell r="G115" t="str">
            <v>남자</v>
          </cell>
        </row>
        <row r="116">
          <cell r="C116" t="str">
            <v>최경규</v>
          </cell>
          <cell r="D116" t="str">
            <v>SM사업팀</v>
          </cell>
          <cell r="E116" t="str">
            <v>20231016</v>
          </cell>
          <cell r="F116" t="str">
            <v>연구원</v>
          </cell>
          <cell r="G116" t="str">
            <v>남자</v>
          </cell>
        </row>
        <row r="117">
          <cell r="C117" t="str">
            <v>김세영</v>
          </cell>
          <cell r="D117" t="str">
            <v>SM사업팀</v>
          </cell>
          <cell r="E117" t="str">
            <v>20240115</v>
          </cell>
          <cell r="F117" t="str">
            <v>연구원</v>
          </cell>
          <cell r="G117" t="str">
            <v>여자</v>
          </cell>
        </row>
        <row r="118">
          <cell r="C118" t="str">
            <v>조영은</v>
          </cell>
          <cell r="D118" t="str">
            <v>SM사업팀</v>
          </cell>
          <cell r="E118" t="str">
            <v>20250204</v>
          </cell>
          <cell r="F118" t="str">
            <v>연구원</v>
          </cell>
          <cell r="G118" t="str">
            <v>여자</v>
          </cell>
        </row>
        <row r="119">
          <cell r="C119" t="str">
            <v>허유나</v>
          </cell>
          <cell r="D119" t="str">
            <v>SM사업팀</v>
          </cell>
          <cell r="E119" t="str">
            <v>20260317</v>
          </cell>
          <cell r="F119" t="str">
            <v>연구원</v>
          </cell>
          <cell r="G119" t="str">
            <v>여자</v>
          </cell>
        </row>
        <row r="120">
          <cell r="C120" t="str">
            <v>이경준</v>
          </cell>
          <cell r="D120" t="str">
            <v>SM사업팀</v>
          </cell>
          <cell r="E120" t="str">
            <v>20260318</v>
          </cell>
          <cell r="F120" t="str">
            <v>연구원</v>
          </cell>
          <cell r="G120" t="str">
            <v>남자</v>
          </cell>
        </row>
        <row r="121">
          <cell r="C121" t="str">
            <v>박정훈</v>
          </cell>
          <cell r="D121" t="str">
            <v>SI사업팀</v>
          </cell>
          <cell r="E121" t="str">
            <v>20260114</v>
          </cell>
          <cell r="F121" t="str">
            <v>수석</v>
          </cell>
          <cell r="G121" t="str">
            <v>남자</v>
          </cell>
        </row>
        <row r="122">
          <cell r="C122" t="str">
            <v>양이레</v>
          </cell>
          <cell r="D122" t="str">
            <v>SI사업팀</v>
          </cell>
          <cell r="E122" t="str">
            <v>20161226</v>
          </cell>
          <cell r="F122" t="str">
            <v>책임</v>
          </cell>
          <cell r="G122" t="str">
            <v>여자</v>
          </cell>
        </row>
        <row r="123">
          <cell r="C123" t="str">
            <v>배석</v>
          </cell>
          <cell r="D123" t="str">
            <v>SI사업팀</v>
          </cell>
          <cell r="E123" t="str">
            <v>20170711</v>
          </cell>
          <cell r="F123" t="str">
            <v>책임</v>
          </cell>
          <cell r="G123" t="str">
            <v>남자</v>
          </cell>
        </row>
        <row r="124">
          <cell r="C124" t="str">
            <v>장민규</v>
          </cell>
          <cell r="D124" t="str">
            <v>SI사업팀</v>
          </cell>
          <cell r="E124" t="str">
            <v>20221004</v>
          </cell>
          <cell r="F124" t="str">
            <v>선임</v>
          </cell>
          <cell r="G124" t="str">
            <v>남자</v>
          </cell>
        </row>
        <row r="125">
          <cell r="C125" t="str">
            <v>김선화</v>
          </cell>
          <cell r="D125" t="str">
            <v>SI사업팀</v>
          </cell>
          <cell r="E125" t="str">
            <v>20210426</v>
          </cell>
          <cell r="F125" t="str">
            <v>전임</v>
          </cell>
          <cell r="G125" t="str">
            <v>여자</v>
          </cell>
        </row>
        <row r="126">
          <cell r="C126" t="str">
            <v>전인호A</v>
          </cell>
          <cell r="D126" t="str">
            <v>SI사업팀</v>
          </cell>
          <cell r="E126" t="str">
            <v>20260203</v>
          </cell>
          <cell r="F126" t="str">
            <v>전임</v>
          </cell>
          <cell r="G126" t="str">
            <v>남자</v>
          </cell>
        </row>
        <row r="127">
          <cell r="C127" t="str">
            <v>전인호</v>
          </cell>
          <cell r="D127" t="str">
            <v>SI사업팀</v>
          </cell>
          <cell r="E127" t="str">
            <v>20260113</v>
          </cell>
          <cell r="F127" t="str">
            <v>이사</v>
          </cell>
          <cell r="G127" t="str">
            <v>남자</v>
          </cell>
        </row>
        <row r="128">
          <cell r="C128" t="str">
            <v>김현</v>
          </cell>
          <cell r="D128" t="str">
            <v>기술개발본부</v>
          </cell>
          <cell r="E128" t="str">
            <v>20090216</v>
          </cell>
          <cell r="F128" t="str">
            <v>이사</v>
          </cell>
          <cell r="G128" t="str">
            <v>남자</v>
          </cell>
        </row>
        <row r="129">
          <cell r="C129" t="str">
            <v>박성규</v>
          </cell>
          <cell r="D129" t="str">
            <v>응용기술개발센터</v>
          </cell>
          <cell r="E129" t="str">
            <v>20080428</v>
          </cell>
          <cell r="F129" t="str">
            <v>수석</v>
          </cell>
          <cell r="G129" t="str">
            <v>남자</v>
          </cell>
        </row>
        <row r="130">
          <cell r="C130" t="str">
            <v>신동훈</v>
          </cell>
          <cell r="D130" t="str">
            <v>응용개발1팀</v>
          </cell>
          <cell r="E130" t="str">
            <v>20130701</v>
          </cell>
          <cell r="F130" t="str">
            <v>수석</v>
          </cell>
          <cell r="G130" t="str">
            <v>남자</v>
          </cell>
        </row>
        <row r="131">
          <cell r="C131" t="str">
            <v>이훈휘</v>
          </cell>
          <cell r="D131" t="str">
            <v>응용개발1팀</v>
          </cell>
          <cell r="E131" t="str">
            <v>20141201</v>
          </cell>
          <cell r="F131" t="str">
            <v>책임</v>
          </cell>
          <cell r="G131" t="str">
            <v>남자</v>
          </cell>
        </row>
        <row r="132">
          <cell r="C132" t="str">
            <v>오헌경</v>
          </cell>
          <cell r="D132" t="str">
            <v>응용개발1팀</v>
          </cell>
          <cell r="E132" t="str">
            <v>20170110</v>
          </cell>
          <cell r="F132" t="str">
            <v>책임</v>
          </cell>
          <cell r="G132" t="str">
            <v>남자</v>
          </cell>
        </row>
        <row r="133">
          <cell r="C133" t="str">
            <v>안준혁</v>
          </cell>
          <cell r="D133" t="str">
            <v>응용개발1팀</v>
          </cell>
          <cell r="E133" t="str">
            <v>20170118</v>
          </cell>
          <cell r="F133" t="str">
            <v>선임</v>
          </cell>
          <cell r="G133" t="str">
            <v>남자</v>
          </cell>
        </row>
        <row r="134">
          <cell r="C134" t="str">
            <v>이예섭</v>
          </cell>
          <cell r="D134" t="str">
            <v>응용개발1팀</v>
          </cell>
          <cell r="E134" t="str">
            <v>20190528</v>
          </cell>
          <cell r="F134" t="str">
            <v>전임</v>
          </cell>
          <cell r="G134" t="str">
            <v>남자</v>
          </cell>
        </row>
        <row r="135">
          <cell r="C135" t="str">
            <v>신원지</v>
          </cell>
          <cell r="D135" t="str">
            <v>응용개발1팀</v>
          </cell>
          <cell r="E135" t="str">
            <v>20220405</v>
          </cell>
          <cell r="F135" t="str">
            <v>연구원</v>
          </cell>
          <cell r="G135" t="str">
            <v>여자</v>
          </cell>
        </row>
        <row r="136">
          <cell r="C136" t="str">
            <v>이재훈</v>
          </cell>
          <cell r="D136" t="str">
            <v>응용개발2팀</v>
          </cell>
          <cell r="E136" t="str">
            <v>20131002</v>
          </cell>
          <cell r="F136" t="str">
            <v>책임</v>
          </cell>
          <cell r="G136" t="str">
            <v>남자</v>
          </cell>
        </row>
        <row r="137">
          <cell r="C137" t="str">
            <v>김지산</v>
          </cell>
          <cell r="D137" t="str">
            <v>응용개발2팀</v>
          </cell>
          <cell r="E137" t="str">
            <v>20151202</v>
          </cell>
          <cell r="F137" t="str">
            <v>책임</v>
          </cell>
          <cell r="G137" t="str">
            <v>남자</v>
          </cell>
        </row>
        <row r="138">
          <cell r="C138" t="str">
            <v>복은서</v>
          </cell>
          <cell r="D138" t="str">
            <v>응용개발2팀</v>
          </cell>
          <cell r="E138" t="str">
            <v>20220404</v>
          </cell>
          <cell r="F138" t="str">
            <v>전임</v>
          </cell>
          <cell r="G138" t="str">
            <v>여자</v>
          </cell>
        </row>
        <row r="139">
          <cell r="C139" t="str">
            <v>이자영</v>
          </cell>
          <cell r="D139" t="str">
            <v>응용개발2팀</v>
          </cell>
          <cell r="E139" t="str">
            <v>20230902</v>
          </cell>
          <cell r="F139" t="str">
            <v>연구원</v>
          </cell>
          <cell r="G139" t="str">
            <v>여자</v>
          </cell>
        </row>
        <row r="140">
          <cell r="C140" t="str">
            <v>이현민</v>
          </cell>
          <cell r="D140" t="str">
            <v>응용개발2팀</v>
          </cell>
          <cell r="E140" t="str">
            <v>20250701</v>
          </cell>
          <cell r="F140" t="str">
            <v>연구원</v>
          </cell>
          <cell r="G140" t="str">
            <v>남자</v>
          </cell>
        </row>
        <row r="141">
          <cell r="C141" t="str">
            <v>이슬</v>
          </cell>
          <cell r="D141" t="str">
            <v>응용개발2팀</v>
          </cell>
          <cell r="E141" t="str">
            <v>20250801</v>
          </cell>
          <cell r="F141" t="str">
            <v>연구원</v>
          </cell>
          <cell r="G141" t="str">
            <v>여자</v>
          </cell>
        </row>
        <row r="142">
          <cell r="C142" t="str">
            <v>정민환</v>
          </cell>
          <cell r="D142" t="str">
            <v>비전개발센터</v>
          </cell>
          <cell r="E142" t="str">
            <v>20080623</v>
          </cell>
          <cell r="F142" t="str">
            <v>수석</v>
          </cell>
          <cell r="G142" t="str">
            <v>남자</v>
          </cell>
        </row>
        <row r="143">
          <cell r="C143" t="str">
            <v>이상길</v>
          </cell>
          <cell r="D143" t="str">
            <v>비전개발센터</v>
          </cell>
          <cell r="E143" t="str">
            <v>20111108</v>
          </cell>
          <cell r="F143" t="str">
            <v>수석</v>
          </cell>
          <cell r="G143" t="str">
            <v>남자</v>
          </cell>
        </row>
        <row r="144">
          <cell r="C144" t="str">
            <v>유병규</v>
          </cell>
          <cell r="D144" t="str">
            <v>비전개발센터</v>
          </cell>
          <cell r="E144" t="str">
            <v>20160106</v>
          </cell>
          <cell r="F144" t="str">
            <v>책임</v>
          </cell>
          <cell r="G144" t="str">
            <v>남자</v>
          </cell>
        </row>
        <row r="145">
          <cell r="C145" t="str">
            <v>박성웅</v>
          </cell>
          <cell r="D145" t="str">
            <v>비전개발센터</v>
          </cell>
          <cell r="E145" t="str">
            <v>20190916</v>
          </cell>
          <cell r="F145" t="str">
            <v>책임</v>
          </cell>
          <cell r="G145" t="str">
            <v>남자</v>
          </cell>
        </row>
        <row r="146">
          <cell r="C146" t="str">
            <v>문성준</v>
          </cell>
          <cell r="D146" t="str">
            <v>비전개발센터</v>
          </cell>
          <cell r="E146" t="str">
            <v>20180226</v>
          </cell>
          <cell r="F146" t="str">
            <v>선임</v>
          </cell>
          <cell r="G146" t="str">
            <v>남자</v>
          </cell>
        </row>
        <row r="147">
          <cell r="C147" t="str">
            <v>최윤석</v>
          </cell>
          <cell r="D147" t="str">
            <v>비전개발센터</v>
          </cell>
          <cell r="E147" t="str">
            <v>20190715</v>
          </cell>
          <cell r="F147" t="str">
            <v>선임</v>
          </cell>
          <cell r="G147" t="str">
            <v>남자</v>
          </cell>
        </row>
        <row r="148">
          <cell r="C148" t="str">
            <v>임서율</v>
          </cell>
          <cell r="D148" t="str">
            <v>비전개발센터</v>
          </cell>
          <cell r="E148" t="str">
            <v>20230508</v>
          </cell>
          <cell r="F148" t="str">
            <v>선임</v>
          </cell>
          <cell r="G148" t="str">
            <v>여자</v>
          </cell>
        </row>
        <row r="149">
          <cell r="C149" t="str">
            <v>권준영</v>
          </cell>
          <cell r="D149" t="str">
            <v>비전개발센터</v>
          </cell>
          <cell r="E149" t="str">
            <v>20220207</v>
          </cell>
          <cell r="F149" t="str">
            <v>전임</v>
          </cell>
          <cell r="G149" t="str">
            <v>남자</v>
          </cell>
        </row>
        <row r="150">
          <cell r="C150" t="str">
            <v>이승하</v>
          </cell>
          <cell r="D150" t="str">
            <v>비전개발센터</v>
          </cell>
          <cell r="E150" t="str">
            <v>20240205</v>
          </cell>
          <cell r="F150" t="str">
            <v>전임</v>
          </cell>
          <cell r="G150" t="str">
            <v>여자</v>
          </cell>
        </row>
        <row r="151">
          <cell r="C151" t="str">
            <v>김재현</v>
          </cell>
          <cell r="D151" t="str">
            <v>비전개발센터</v>
          </cell>
          <cell r="E151" t="str">
            <v>20260303</v>
          </cell>
          <cell r="F151" t="str">
            <v>전임</v>
          </cell>
          <cell r="G151" t="str">
            <v>남자</v>
          </cell>
        </row>
        <row r="152">
          <cell r="C152" t="str">
            <v>성유경</v>
          </cell>
          <cell r="D152" t="str">
            <v>비전개발센터</v>
          </cell>
          <cell r="E152" t="str">
            <v>20260330</v>
          </cell>
          <cell r="F152" t="str">
            <v>전임</v>
          </cell>
          <cell r="G152" t="str">
            <v>여자</v>
          </cell>
        </row>
        <row r="153">
          <cell r="C153" t="str">
            <v>박은성</v>
          </cell>
          <cell r="D153" t="str">
            <v>비전개발센터</v>
          </cell>
          <cell r="E153" t="str">
            <v>20230417</v>
          </cell>
          <cell r="F153" t="str">
            <v>연구원</v>
          </cell>
          <cell r="G153" t="str">
            <v>남자</v>
          </cell>
        </row>
        <row r="154">
          <cell r="C154" t="str">
            <v>이남규</v>
          </cell>
          <cell r="D154" t="str">
            <v>비전개발센터</v>
          </cell>
          <cell r="E154" t="str">
            <v>20230426</v>
          </cell>
          <cell r="F154" t="str">
            <v>연구원</v>
          </cell>
          <cell r="G154" t="str">
            <v>남자</v>
          </cell>
        </row>
        <row r="155">
          <cell r="C155" t="str">
            <v>신현호</v>
          </cell>
          <cell r="D155" t="str">
            <v>비전개발센터</v>
          </cell>
          <cell r="E155" t="str">
            <v>20240213</v>
          </cell>
          <cell r="F155" t="str">
            <v>연구원</v>
          </cell>
          <cell r="G155" t="str">
            <v>남자</v>
          </cell>
        </row>
        <row r="156">
          <cell r="C156" t="str">
            <v>정윤수</v>
          </cell>
          <cell r="D156" t="str">
            <v>비전개발센터</v>
          </cell>
          <cell r="E156" t="str">
            <v>20260304</v>
          </cell>
          <cell r="F156" t="str">
            <v>연구원</v>
          </cell>
          <cell r="G156" t="str">
            <v>남자</v>
          </cell>
        </row>
        <row r="157">
          <cell r="C157" t="str">
            <v>박준호</v>
          </cell>
          <cell r="D157" t="str">
            <v>플랫폼개발센터</v>
          </cell>
          <cell r="E157" t="str">
            <v>20100219</v>
          </cell>
          <cell r="F157" t="str">
            <v>수석</v>
          </cell>
          <cell r="G157" t="str">
            <v>남자</v>
          </cell>
        </row>
        <row r="158">
          <cell r="C158" t="str">
            <v>박수영</v>
          </cell>
          <cell r="D158" t="str">
            <v>플랫폼개발센터</v>
          </cell>
          <cell r="E158" t="str">
            <v>20101203</v>
          </cell>
          <cell r="F158" t="str">
            <v>수석</v>
          </cell>
          <cell r="G158" t="str">
            <v>남자</v>
          </cell>
        </row>
        <row r="159">
          <cell r="C159" t="str">
            <v>김동균</v>
          </cell>
          <cell r="D159" t="str">
            <v>플랫폼개발센터</v>
          </cell>
          <cell r="E159" t="str">
            <v>20220401</v>
          </cell>
          <cell r="F159" t="str">
            <v>책임</v>
          </cell>
          <cell r="G159" t="str">
            <v>남자</v>
          </cell>
        </row>
        <row r="160">
          <cell r="C160" t="str">
            <v>김현철</v>
          </cell>
          <cell r="D160" t="str">
            <v>플랫폼개발센터</v>
          </cell>
          <cell r="E160" t="str">
            <v>20250108</v>
          </cell>
          <cell r="F160" t="str">
            <v>책임</v>
          </cell>
          <cell r="G160" t="str">
            <v>남자</v>
          </cell>
        </row>
        <row r="161">
          <cell r="C161" t="str">
            <v>최재환</v>
          </cell>
          <cell r="D161" t="str">
            <v>플랫폼개발센터</v>
          </cell>
          <cell r="E161" t="str">
            <v>20251027</v>
          </cell>
          <cell r="F161" t="str">
            <v>책임</v>
          </cell>
          <cell r="G161" t="str">
            <v>남자</v>
          </cell>
        </row>
        <row r="162">
          <cell r="C162" t="str">
            <v>박종화</v>
          </cell>
          <cell r="D162" t="str">
            <v>플랫폼개발센터</v>
          </cell>
          <cell r="E162" t="str">
            <v>20240702</v>
          </cell>
          <cell r="F162" t="str">
            <v>전임</v>
          </cell>
          <cell r="G162" t="str">
            <v>남자</v>
          </cell>
        </row>
        <row r="163">
          <cell r="C163" t="str">
            <v>문병권</v>
          </cell>
          <cell r="D163" t="str">
            <v>플랫폼개발센터</v>
          </cell>
          <cell r="E163" t="str">
            <v>20251124</v>
          </cell>
          <cell r="F163" t="str">
            <v>전임</v>
          </cell>
          <cell r="G163" t="str">
            <v>남자</v>
          </cell>
        </row>
        <row r="164">
          <cell r="C164" t="str">
            <v>이예은</v>
          </cell>
          <cell r="D164" t="str">
            <v>플랫폼개발센터</v>
          </cell>
          <cell r="E164" t="str">
            <v>20230615</v>
          </cell>
          <cell r="F164" t="str">
            <v>연구원</v>
          </cell>
          <cell r="G164" t="str">
            <v>여자</v>
          </cell>
        </row>
        <row r="165">
          <cell r="C165" t="str">
            <v>최현정</v>
          </cell>
          <cell r="D165" t="str">
            <v>플랫폼개발센터</v>
          </cell>
          <cell r="E165" t="str">
            <v>20260422</v>
          </cell>
          <cell r="F165" t="str">
            <v>연구원</v>
          </cell>
          <cell r="G165" t="str">
            <v>여자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C0F4-18CC-44F4-9FC3-8B483FB62BFA}">
  <sheetPr>
    <pageSetUpPr fitToPage="1"/>
  </sheetPr>
  <dimension ref="A1:W58"/>
  <sheetViews>
    <sheetView showGridLines="0" tabSelected="1" zoomScale="85" zoomScaleNormal="85" workbookViewId="0">
      <selection activeCell="C11" sqref="C11"/>
    </sheetView>
  </sheetViews>
  <sheetFormatPr defaultRowHeight="13.5" x14ac:dyDescent="0.15"/>
  <cols>
    <col min="1" max="1" width="9.375" style="1" customWidth="1"/>
    <col min="2" max="2" width="9" style="1"/>
    <col min="3" max="3" width="17" style="1" bestFit="1" customWidth="1"/>
    <col min="4" max="5" width="9" style="1"/>
    <col min="6" max="6" width="3.75" style="1" customWidth="1"/>
    <col min="7" max="7" width="9.375" style="1" customWidth="1"/>
    <col min="8" max="8" width="9" style="1"/>
    <col min="9" max="9" width="13.875" style="1" customWidth="1"/>
    <col min="10" max="11" width="9" style="1"/>
    <col min="12" max="12" width="3.75" style="1" customWidth="1"/>
    <col min="13" max="13" width="9.375" style="1" customWidth="1"/>
    <col min="14" max="14" width="9" style="1"/>
    <col min="15" max="15" width="16" style="1" bestFit="1" customWidth="1"/>
    <col min="16" max="17" width="9" style="1"/>
    <col min="18" max="18" width="3.75" style="1" customWidth="1"/>
    <col min="19" max="19" width="9.375" style="1" customWidth="1"/>
    <col min="20" max="20" width="9" style="1"/>
    <col min="21" max="21" width="19.25" style="1" bestFit="1" customWidth="1"/>
    <col min="22" max="23" width="9" style="1"/>
    <col min="24" max="24" width="5.375" style="1" customWidth="1"/>
    <col min="25" max="16384" width="9" style="1"/>
  </cols>
  <sheetData>
    <row r="1" spans="1:23" x14ac:dyDescent="0.15">
      <c r="A1" s="33"/>
    </row>
    <row r="2" spans="1:23" s="31" customFormat="1" ht="16.5" x14ac:dyDescent="0.3">
      <c r="A2" s="32"/>
      <c r="B2" s="32"/>
      <c r="C2" s="32"/>
      <c r="D2" s="32"/>
      <c r="E2" s="32"/>
      <c r="G2" s="32"/>
      <c r="H2" s="32"/>
      <c r="I2" s="32"/>
      <c r="J2" s="32"/>
      <c r="K2" s="32"/>
      <c r="M2" s="32"/>
      <c r="N2" s="32"/>
      <c r="O2" s="32"/>
      <c r="P2" s="32"/>
      <c r="Q2" s="32"/>
      <c r="S2" s="32"/>
      <c r="T2" s="32"/>
      <c r="U2" s="32"/>
      <c r="V2" s="32"/>
      <c r="W2" s="32"/>
    </row>
    <row r="3" spans="1:23" ht="16.5" x14ac:dyDescent="0.3">
      <c r="A3" s="29" t="s">
        <v>172</v>
      </c>
      <c r="B3" s="29" t="s">
        <v>171</v>
      </c>
      <c r="C3" s="29" t="s">
        <v>170</v>
      </c>
      <c r="D3" s="29" t="s">
        <v>169</v>
      </c>
      <c r="E3" s="29" t="s">
        <v>168</v>
      </c>
      <c r="F3" s="4"/>
      <c r="G3" s="29" t="s">
        <v>172</v>
      </c>
      <c r="H3" s="29" t="s">
        <v>171</v>
      </c>
      <c r="I3" s="29" t="s">
        <v>170</v>
      </c>
      <c r="J3" s="29" t="s">
        <v>169</v>
      </c>
      <c r="K3" s="29" t="s">
        <v>168</v>
      </c>
      <c r="L3" s="4"/>
      <c r="M3" s="29" t="s">
        <v>172</v>
      </c>
      <c r="N3" s="29" t="s">
        <v>171</v>
      </c>
      <c r="O3" s="29" t="s">
        <v>170</v>
      </c>
      <c r="P3" s="29" t="s">
        <v>169</v>
      </c>
      <c r="Q3" s="29" t="s">
        <v>168</v>
      </c>
      <c r="R3" s="30"/>
      <c r="S3" s="29" t="s">
        <v>172</v>
      </c>
      <c r="T3" s="29" t="s">
        <v>171</v>
      </c>
      <c r="U3" s="29" t="s">
        <v>170</v>
      </c>
      <c r="V3" s="29" t="s">
        <v>169</v>
      </c>
      <c r="W3" s="29" t="s">
        <v>168</v>
      </c>
    </row>
    <row r="4" spans="1:23" ht="16.5" x14ac:dyDescent="0.3">
      <c r="A4" s="14">
        <v>1</v>
      </c>
      <c r="B4" s="28" t="s">
        <v>167</v>
      </c>
      <c r="C4" s="28" t="str">
        <f>IFERROR(VLOOKUP(B4,[1]사원명부!C$1:D$65536,2,0),"")</f>
        <v>기술개발본부</v>
      </c>
      <c r="D4" s="28" t="str">
        <f>IFERROR(VLOOKUP(B4,[1]사원명부!C$1:F$65536,4,0),"")</f>
        <v>이사</v>
      </c>
      <c r="E4" s="28" t="str">
        <f>IFERROR(VLOOKUP(B4,[1]사원명부!C$1:G$65536,5,0),"")</f>
        <v>남자</v>
      </c>
      <c r="F4" s="4"/>
      <c r="G4" s="12">
        <v>1</v>
      </c>
      <c r="H4" s="12" t="s">
        <v>166</v>
      </c>
      <c r="I4" s="12" t="str">
        <f>IFERROR(VLOOKUP(H4,[1]사원명부!C$1:D$65536,2,0),"")</f>
        <v>ICT사업부</v>
      </c>
      <c r="J4" s="12" t="str">
        <f>IFERROR(VLOOKUP(H4,[1]사원명부!C$1:F$65536,4,0),"")</f>
        <v>상무</v>
      </c>
      <c r="K4" s="12" t="str">
        <f>IFERROR(VLOOKUP(H4,[1]사원명부!C$1:G$65536,5,0),"")</f>
        <v>남자</v>
      </c>
      <c r="L4" s="4"/>
      <c r="M4" s="19">
        <v>1</v>
      </c>
      <c r="N4" s="19" t="s">
        <v>165</v>
      </c>
      <c r="O4" s="19" t="str">
        <f>IFERROR(VLOOKUP(N4,[1]사원명부!C$1:D$65536,2,0),"")</f>
        <v>솔루션사업부</v>
      </c>
      <c r="P4" s="19" t="str">
        <f>IFERROR(VLOOKUP(N4,[1]사원명부!C$1:F$65536,4,0),"")</f>
        <v>책임</v>
      </c>
      <c r="Q4" s="19" t="str">
        <f>IFERROR(VLOOKUP(N4,[1]사원명부!C$1:G$65536,5,0),"")</f>
        <v>남자</v>
      </c>
      <c r="R4" s="8"/>
      <c r="S4" s="7">
        <v>1</v>
      </c>
      <c r="T4" s="7" t="s">
        <v>164</v>
      </c>
      <c r="U4" s="7" t="str">
        <f>IFERROR(VLOOKUP(T4,[1]사원명부!C$1:D$65536,2,0),"")</f>
        <v>운영기술개발실</v>
      </c>
      <c r="V4" s="7" t="str">
        <f>IFERROR(VLOOKUP(T4,[1]사원명부!C$1:F$65536,4,0),"")</f>
        <v>상무</v>
      </c>
      <c r="W4" s="7" t="str">
        <f>IFERROR(VLOOKUP(T4,[1]사원명부!C$1:G$65536,5,0),"")</f>
        <v>남자</v>
      </c>
    </row>
    <row r="5" spans="1:23" ht="16.5" x14ac:dyDescent="0.3">
      <c r="A5" s="14">
        <v>2</v>
      </c>
      <c r="B5" s="14" t="s">
        <v>163</v>
      </c>
      <c r="C5" s="14" t="str">
        <f>IFERROR(VLOOKUP(B5,[1]사원명부!C$1:D$65536,2,0),"")</f>
        <v>응용기술개발센터</v>
      </c>
      <c r="D5" s="14" t="str">
        <f>IFERROR(VLOOKUP(B5,[1]사원명부!C$1:F$65536,4,0),"")</f>
        <v>수석</v>
      </c>
      <c r="E5" s="14" t="str">
        <f>IFERROR(VLOOKUP(B5,[1]사원명부!C$1:G$65536,5,0),"")</f>
        <v>남자</v>
      </c>
      <c r="F5" s="4"/>
      <c r="G5" s="12">
        <v>2</v>
      </c>
      <c r="H5" s="12" t="s">
        <v>162</v>
      </c>
      <c r="I5" s="12" t="str">
        <f>IFERROR(VLOOKUP(H5,[1]사원명부!C$1:D$65536,2,0),"")</f>
        <v>SM사업팀</v>
      </c>
      <c r="J5" s="12" t="str">
        <f>IFERROR(VLOOKUP(H5,[1]사원명부!C$1:F$65536,4,0),"")</f>
        <v>책임</v>
      </c>
      <c r="K5" s="12" t="str">
        <f>IFERROR(VLOOKUP(H5,[1]사원명부!C$1:G$65536,5,0),"")</f>
        <v>남자</v>
      </c>
      <c r="L5" s="4"/>
      <c r="M5" s="19">
        <v>2</v>
      </c>
      <c r="N5" s="19" t="s">
        <v>161</v>
      </c>
      <c r="O5" s="19" t="str">
        <f>IFERROR(VLOOKUP(N5,[1]사원명부!C$1:D$65536,2,0),"")</f>
        <v>솔루션사업부</v>
      </c>
      <c r="P5" s="19" t="str">
        <f>IFERROR(VLOOKUP(N5,[1]사원명부!C$1:F$65536,4,0),"")</f>
        <v>책임</v>
      </c>
      <c r="Q5" s="19" t="str">
        <f>IFERROR(VLOOKUP(N5,[1]사원명부!C$1:G$65536,5,0),"")</f>
        <v>남자</v>
      </c>
      <c r="R5" s="8"/>
      <c r="S5" s="7">
        <v>2</v>
      </c>
      <c r="T5" s="7" t="s">
        <v>160</v>
      </c>
      <c r="U5" s="7" t="str">
        <f>IFERROR(VLOOKUP(T5,[1]사원명부!C$1:D$65536,2,0),"")</f>
        <v>운영기술개발실</v>
      </c>
      <c r="V5" s="7" t="str">
        <f>IFERROR(VLOOKUP(T5,[1]사원명부!C$1:F$65536,4,0),"")</f>
        <v>수석</v>
      </c>
      <c r="W5" s="7" t="str">
        <f>IFERROR(VLOOKUP(T5,[1]사원명부!C$1:G$65536,5,0),"")</f>
        <v>남자</v>
      </c>
    </row>
    <row r="6" spans="1:23" ht="16.5" x14ac:dyDescent="0.3">
      <c r="A6" s="14">
        <v>3</v>
      </c>
      <c r="B6" s="14" t="s">
        <v>159</v>
      </c>
      <c r="C6" s="14" t="str">
        <f>IFERROR(VLOOKUP(B6,[1]사원명부!C$1:D$65536,2,0),"")</f>
        <v>응용개발1팀</v>
      </c>
      <c r="D6" s="14" t="str">
        <f>IFERROR(VLOOKUP(B6,[1]사원명부!C$1:F$65536,4,0),"")</f>
        <v>수석</v>
      </c>
      <c r="E6" s="14" t="str">
        <f>IFERROR(VLOOKUP(B6,[1]사원명부!C$1:G$65536,5,0),"")</f>
        <v>남자</v>
      </c>
      <c r="F6" s="4"/>
      <c r="G6" s="12">
        <v>3</v>
      </c>
      <c r="H6" s="12" t="s">
        <v>158</v>
      </c>
      <c r="I6" s="12" t="str">
        <f>IFERROR(VLOOKUP(H6,[1]사원명부!C$1:D$65536,2,0),"")</f>
        <v>SM사업팀</v>
      </c>
      <c r="J6" s="12" t="str">
        <f>IFERROR(VLOOKUP(H6,[1]사원명부!C$1:F$65536,4,0),"")</f>
        <v>전임</v>
      </c>
      <c r="K6" s="12" t="str">
        <f>IFERROR(VLOOKUP(H6,[1]사원명부!C$1:G$65536,5,0),"")</f>
        <v>남자</v>
      </c>
      <c r="L6" s="4"/>
      <c r="M6" s="19">
        <v>3</v>
      </c>
      <c r="N6" s="10" t="s">
        <v>157</v>
      </c>
      <c r="O6" s="19" t="str">
        <f>IFERROR(VLOOKUP(N6,[1]사원명부!C$1:D$65536,2,0),"")</f>
        <v>솔루션사업부</v>
      </c>
      <c r="P6" s="10" t="str">
        <f>IFERROR(VLOOKUP(N6,[1]사원명부!C$1:F$65536,4,0),"")</f>
        <v>책임</v>
      </c>
      <c r="Q6" s="10" t="str">
        <f>IFERROR(VLOOKUP(N6,[1]사원명부!C$1:G$65536,5,0),"")</f>
        <v>남자</v>
      </c>
      <c r="R6" s="8"/>
      <c r="S6" s="7">
        <v>3</v>
      </c>
      <c r="T6" s="7" t="s">
        <v>156</v>
      </c>
      <c r="U6" s="7" t="str">
        <f>IFERROR(VLOOKUP(T6,[1]사원명부!C$1:D$65536,2,0),"")</f>
        <v>운영기술개발실</v>
      </c>
      <c r="V6" s="7" t="str">
        <f>IFERROR(VLOOKUP(T6,[1]사원명부!C$1:F$65536,4,0),"")</f>
        <v>전임</v>
      </c>
      <c r="W6" s="7" t="str">
        <f>IFERROR(VLOOKUP(T6,[1]사원명부!C$1:G$65536,5,0),"")</f>
        <v>남자</v>
      </c>
    </row>
    <row r="7" spans="1:23" ht="16.5" x14ac:dyDescent="0.3">
      <c r="A7" s="14">
        <v>4</v>
      </c>
      <c r="B7" s="14" t="s">
        <v>155</v>
      </c>
      <c r="C7" s="14" t="str">
        <f>IFERROR(VLOOKUP(B7,[1]사원명부!C$1:D$65536,2,0),"")</f>
        <v>응용개발1팀</v>
      </c>
      <c r="D7" s="14" t="str">
        <f>IFERROR(VLOOKUP(B7,[1]사원명부!C$1:F$65536,4,0),"")</f>
        <v>책임</v>
      </c>
      <c r="E7" s="14" t="str">
        <f>IFERROR(VLOOKUP(B7,[1]사원명부!C$1:G$65536,5,0),"")</f>
        <v>남자</v>
      </c>
      <c r="F7" s="4"/>
      <c r="G7" s="12">
        <v>4</v>
      </c>
      <c r="H7" s="12" t="s">
        <v>154</v>
      </c>
      <c r="I7" s="12" t="str">
        <f>IFERROR(VLOOKUP(H7,[1]사원명부!C$1:D$65536,2,0),"")</f>
        <v>SM사업팀</v>
      </c>
      <c r="J7" s="12" t="str">
        <f>IFERROR(VLOOKUP(H7,[1]사원명부!C$1:F$65536,4,0),"")</f>
        <v>전임</v>
      </c>
      <c r="K7" s="12" t="str">
        <f>IFERROR(VLOOKUP(H7,[1]사원명부!C$1:G$65536,5,0),"")</f>
        <v>남자</v>
      </c>
      <c r="L7" s="4"/>
      <c r="M7" s="19">
        <v>4</v>
      </c>
      <c r="N7" s="19" t="s">
        <v>153</v>
      </c>
      <c r="O7" s="19" t="str">
        <f>IFERROR(VLOOKUP(N7,[1]사원명부!C$1:D$65536,2,0),"")</f>
        <v>솔루션사업부</v>
      </c>
      <c r="P7" s="19" t="str">
        <f>IFERROR(VLOOKUP(N7,[1]사원명부!C$1:F$65536,4,0),"")</f>
        <v>책임</v>
      </c>
      <c r="Q7" s="19" t="str">
        <f>IFERROR(VLOOKUP(N7,[1]사원명부!C$1:G$65536,5,0),"")</f>
        <v>남자</v>
      </c>
      <c r="R7" s="8"/>
      <c r="S7" s="7">
        <v>4</v>
      </c>
      <c r="T7" s="7" t="s">
        <v>152</v>
      </c>
      <c r="U7" s="7" t="str">
        <f>IFERROR(VLOOKUP(T7,[1]사원명부!C$1:D$65536,2,0),"")</f>
        <v>운영기술개발실</v>
      </c>
      <c r="V7" s="7" t="str">
        <f>IFERROR(VLOOKUP(T7,[1]사원명부!C$1:F$65536,4,0),"")</f>
        <v>연구원</v>
      </c>
      <c r="W7" s="7" t="str">
        <f>IFERROR(VLOOKUP(T7,[1]사원명부!C$1:G$65536,5,0),"")</f>
        <v>남자</v>
      </c>
    </row>
    <row r="8" spans="1:23" ht="16.5" x14ac:dyDescent="0.3">
      <c r="A8" s="14">
        <v>5</v>
      </c>
      <c r="B8" s="14" t="s">
        <v>151</v>
      </c>
      <c r="C8" s="14" t="str">
        <f>IFERROR(VLOOKUP(B8,[1]사원명부!C$1:D$65536,2,0),"")</f>
        <v>응용개발1팀</v>
      </c>
      <c r="D8" s="14" t="str">
        <f>IFERROR(VLOOKUP(B8,[1]사원명부!C$1:F$65536,4,0),"")</f>
        <v>책임</v>
      </c>
      <c r="E8" s="14" t="str">
        <f>IFERROR(VLOOKUP(B8,[1]사원명부!C$1:G$65536,5,0),"")</f>
        <v>남자</v>
      </c>
      <c r="F8" s="4"/>
      <c r="G8" s="12">
        <v>5</v>
      </c>
      <c r="H8" s="12" t="s">
        <v>150</v>
      </c>
      <c r="I8" s="12" t="str">
        <f>IFERROR(VLOOKUP(H8,[1]사원명부!C$1:D$65536,2,0),"")</f>
        <v>SM사업팀</v>
      </c>
      <c r="J8" s="12" t="str">
        <f>IFERROR(VLOOKUP(H8,[1]사원명부!C$1:F$65536,4,0),"")</f>
        <v>전임</v>
      </c>
      <c r="K8" s="12" t="str">
        <f>IFERROR(VLOOKUP(H8,[1]사원명부!C$1:G$65536,5,0),"")</f>
        <v>남자</v>
      </c>
      <c r="L8" s="4"/>
      <c r="M8" s="19">
        <v>5</v>
      </c>
      <c r="N8" s="19" t="s">
        <v>149</v>
      </c>
      <c r="O8" s="19" t="str">
        <f>IFERROR(VLOOKUP(N8,[1]사원명부!C$1:D$65536,2,0),"")</f>
        <v>솔루션사업부</v>
      </c>
      <c r="P8" s="19" t="str">
        <f>IFERROR(VLOOKUP(N8,[1]사원명부!C$1:F$65536,4,0),"")</f>
        <v>선임</v>
      </c>
      <c r="Q8" s="19" t="str">
        <f>IFERROR(VLOOKUP(N8,[1]사원명부!C$1:G$65536,5,0),"")</f>
        <v>남자</v>
      </c>
      <c r="R8" s="8"/>
      <c r="S8" s="7">
        <v>5</v>
      </c>
      <c r="T8" s="7" t="s">
        <v>148</v>
      </c>
      <c r="U8" s="7" t="str">
        <f>IFERROR(VLOOKUP(T8,[1]사원명부!C$1:D$65536,2,0),"")</f>
        <v>운영기술개발실</v>
      </c>
      <c r="V8" s="7" t="str">
        <f>IFERROR(VLOOKUP(T8,[1]사원명부!C$1:F$65536,4,0),"")</f>
        <v>연구원</v>
      </c>
      <c r="W8" s="7" t="str">
        <f>IFERROR(VLOOKUP(T8,[1]사원명부!C$1:G$65536,5,0),"")</f>
        <v>남자</v>
      </c>
    </row>
    <row r="9" spans="1:23" ht="16.5" x14ac:dyDescent="0.3">
      <c r="A9" s="14">
        <v>6</v>
      </c>
      <c r="B9" s="14" t="s">
        <v>147</v>
      </c>
      <c r="C9" s="14" t="str">
        <f>IFERROR(VLOOKUP(B9,[1]사원명부!C$1:D$65536,2,0),"")</f>
        <v>응용개발1팀</v>
      </c>
      <c r="D9" s="14" t="str">
        <f>IFERROR(VLOOKUP(B9,[1]사원명부!C$1:F$65536,4,0),"")</f>
        <v>선임</v>
      </c>
      <c r="E9" s="14" t="str">
        <f>IFERROR(VLOOKUP(B9,[1]사원명부!C$1:G$65536,5,0),"")</f>
        <v>남자</v>
      </c>
      <c r="F9" s="4"/>
      <c r="G9" s="12">
        <v>6</v>
      </c>
      <c r="H9" s="12" t="s">
        <v>146</v>
      </c>
      <c r="I9" s="12" t="str">
        <f>IFERROR(VLOOKUP(H9,[1]사원명부!C$1:D$65536,2,0),"")</f>
        <v>SM사업팀</v>
      </c>
      <c r="J9" s="12" t="str">
        <f>IFERROR(VLOOKUP(H9,[1]사원명부!C$1:F$65536,4,0),"")</f>
        <v>전임</v>
      </c>
      <c r="K9" s="12" t="str">
        <f>IFERROR(VLOOKUP(H9,[1]사원명부!C$1:G$65536,5,0),"")</f>
        <v>남자</v>
      </c>
      <c r="L9" s="4"/>
      <c r="M9" s="19">
        <v>6</v>
      </c>
      <c r="N9" s="19" t="s">
        <v>145</v>
      </c>
      <c r="O9" s="19" t="str">
        <f>IFERROR(VLOOKUP(N9,[1]사원명부!C$1:D$65536,2,0),"")</f>
        <v>솔루션사업부</v>
      </c>
      <c r="P9" s="19" t="str">
        <f>IFERROR(VLOOKUP(N9,[1]사원명부!C$1:F$65536,4,0),"")</f>
        <v>선임</v>
      </c>
      <c r="Q9" s="19" t="str">
        <f>IFERROR(VLOOKUP(N9,[1]사원명부!C$1:G$65536,5,0),"")</f>
        <v>남자</v>
      </c>
      <c r="R9" s="8"/>
      <c r="S9" s="7">
        <v>6</v>
      </c>
      <c r="T9" s="7" t="s">
        <v>144</v>
      </c>
      <c r="U9" s="7" t="str">
        <f>IFERROR(VLOOKUP(T9,[1]사원명부!C$1:D$65536,2,0),"")</f>
        <v>운영기술개발실</v>
      </c>
      <c r="V9" s="7" t="str">
        <f>IFERROR(VLOOKUP(T9,[1]사원명부!C$1:F$65536,4,0),"")</f>
        <v>연구원</v>
      </c>
      <c r="W9" s="7" t="str">
        <f>IFERROR(VLOOKUP(T9,[1]사원명부!C$1:G$65536,5,0),"")</f>
        <v>남자</v>
      </c>
    </row>
    <row r="10" spans="1:23" ht="15.75" customHeight="1" x14ac:dyDescent="0.3">
      <c r="A10" s="14">
        <v>7</v>
      </c>
      <c r="B10" s="14" t="s">
        <v>143</v>
      </c>
      <c r="C10" s="14" t="str">
        <f>IFERROR(VLOOKUP(B10,[1]사원명부!C$1:D$65536,2,0),"")</f>
        <v>응용개발1팀</v>
      </c>
      <c r="D10" s="14" t="str">
        <f>IFERROR(VLOOKUP(B10,[1]사원명부!C$1:F$65536,4,0),"")</f>
        <v>전임</v>
      </c>
      <c r="E10" s="14" t="str">
        <f>IFERROR(VLOOKUP(B10,[1]사원명부!C$1:G$65536,5,0),"")</f>
        <v>남자</v>
      </c>
      <c r="F10" s="4"/>
      <c r="G10" s="12">
        <v>7</v>
      </c>
      <c r="H10" s="12" t="s">
        <v>142</v>
      </c>
      <c r="I10" s="12" t="str">
        <f>IFERROR(VLOOKUP(H10,[1]사원명부!C$1:D$65536,2,0),"")</f>
        <v>SM사업팀</v>
      </c>
      <c r="J10" s="12" t="str">
        <f>IFERROR(VLOOKUP(H10,[1]사원명부!C$1:F$65536,4,0),"")</f>
        <v>연구원</v>
      </c>
      <c r="K10" s="12" t="str">
        <f>IFERROR(VLOOKUP(H10,[1]사원명부!C$1:G$65536,5,0),"")</f>
        <v>남자</v>
      </c>
      <c r="L10" s="4"/>
      <c r="M10" s="19">
        <v>7</v>
      </c>
      <c r="N10" s="19" t="s">
        <v>141</v>
      </c>
      <c r="O10" s="19" t="str">
        <f>IFERROR(VLOOKUP(N10,[1]사원명부!C$1:D$65536,2,0),"")</f>
        <v>솔루션사업부</v>
      </c>
      <c r="P10" s="19" t="str">
        <f>IFERROR(VLOOKUP(N10,[1]사원명부!C$1:F$65536,4,0),"")</f>
        <v>전임</v>
      </c>
      <c r="Q10" s="19" t="str">
        <f>IFERROR(VLOOKUP(N10,[1]사원명부!C$1:G$65536,5,0),"")</f>
        <v>여자</v>
      </c>
      <c r="R10" s="8"/>
      <c r="S10" s="7">
        <v>7</v>
      </c>
      <c r="T10" s="7" t="s">
        <v>140</v>
      </c>
      <c r="U10" s="7" t="str">
        <f>IFERROR(VLOOKUP(T10,[1]사원명부!C$1:D$65536,2,0),"")</f>
        <v>운영기술개발실</v>
      </c>
      <c r="V10" s="7" t="str">
        <f>IFERROR(VLOOKUP(T10,[1]사원명부!C$1:F$65536,4,0),"")</f>
        <v>연구원</v>
      </c>
      <c r="W10" s="7" t="str">
        <f>IFERROR(VLOOKUP(T10,[1]사원명부!C$1:G$65536,5,0),"")</f>
        <v>남자</v>
      </c>
    </row>
    <row r="11" spans="1:23" ht="16.5" x14ac:dyDescent="0.3">
      <c r="A11" s="14">
        <v>8</v>
      </c>
      <c r="B11" s="14" t="s">
        <v>139</v>
      </c>
      <c r="C11" s="14" t="str">
        <f>IFERROR(VLOOKUP(B11,[1]사원명부!C$1:D$65536,2,0),"")</f>
        <v>응용개발1팀</v>
      </c>
      <c r="D11" s="14" t="str">
        <f>IFERROR(VLOOKUP(B11,[1]사원명부!C$1:F$65536,4,0),"")</f>
        <v>연구원</v>
      </c>
      <c r="E11" s="14" t="str">
        <f>IFERROR(VLOOKUP(B11,[1]사원명부!C$1:G$65536,5,0),"")</f>
        <v>여자</v>
      </c>
      <c r="F11" s="4"/>
      <c r="G11" s="12">
        <v>8</v>
      </c>
      <c r="H11" s="12" t="s">
        <v>138</v>
      </c>
      <c r="I11" s="12" t="str">
        <f>IFERROR(VLOOKUP(H11,[1]사원명부!C$1:D$65536,2,0),"")</f>
        <v>SM사업팀</v>
      </c>
      <c r="J11" s="12" t="str">
        <f>IFERROR(VLOOKUP(H11,[1]사원명부!C$1:F$65536,4,0),"")</f>
        <v>연구원</v>
      </c>
      <c r="K11" s="12" t="str">
        <f>IFERROR(VLOOKUP(H11,[1]사원명부!C$1:G$65536,5,0),"")</f>
        <v>여자</v>
      </c>
      <c r="L11" s="4"/>
      <c r="M11" s="19">
        <v>8</v>
      </c>
      <c r="N11" s="19" t="s">
        <v>137</v>
      </c>
      <c r="O11" s="19" t="str">
        <f>IFERROR(VLOOKUP(N11,[1]사원명부!C$1:D$65536,2,0),"")</f>
        <v>솔루션사업부</v>
      </c>
      <c r="P11" s="19" t="str">
        <f>IFERROR(VLOOKUP(N11,[1]사원명부!C$1:F$65536,4,0),"")</f>
        <v>전임</v>
      </c>
      <c r="Q11" s="19" t="str">
        <f>IFERROR(VLOOKUP(N11,[1]사원명부!C$1:G$65536,5,0),"")</f>
        <v>남자</v>
      </c>
      <c r="R11" s="8"/>
      <c r="S11" s="7">
        <v>8</v>
      </c>
      <c r="T11" s="7" t="s">
        <v>136</v>
      </c>
      <c r="U11" s="7" t="str">
        <f>IFERROR(VLOOKUP(T11,[1]사원명부!C$1:D$65536,2,0),"")</f>
        <v>운영기술개발실</v>
      </c>
      <c r="V11" s="7" t="str">
        <f>IFERROR(VLOOKUP(T11,[1]사원명부!C$1:F$65536,4,0),"")</f>
        <v>연구원</v>
      </c>
      <c r="W11" s="7" t="str">
        <f>IFERROR(VLOOKUP(T11,[1]사원명부!C$1:G$65536,5,0),"")</f>
        <v>남자</v>
      </c>
    </row>
    <row r="12" spans="1:23" ht="16.5" x14ac:dyDescent="0.3">
      <c r="A12" s="14">
        <v>9</v>
      </c>
      <c r="B12" s="14" t="s">
        <v>135</v>
      </c>
      <c r="C12" s="14" t="str">
        <f>IFERROR(VLOOKUP(B12,[1]사원명부!C$1:D$65536,2,0),"")</f>
        <v>응용개발2팀</v>
      </c>
      <c r="D12" s="14" t="str">
        <f>IFERROR(VLOOKUP(B12,[1]사원명부!C$1:F$65536,4,0),"")</f>
        <v>책임</v>
      </c>
      <c r="E12" s="14" t="str">
        <f>IFERROR(VLOOKUP(B12,[1]사원명부!C$1:G$65536,5,0),"")</f>
        <v>남자</v>
      </c>
      <c r="F12" s="4"/>
      <c r="G12" s="12">
        <v>9</v>
      </c>
      <c r="H12" s="12" t="s">
        <v>134</v>
      </c>
      <c r="I12" s="12" t="str">
        <f>IFERROR(VLOOKUP(H12,[1]사원명부!C$1:D$65536,2,0),"")</f>
        <v>SM사업팀</v>
      </c>
      <c r="J12" s="12" t="str">
        <f>IFERROR(VLOOKUP(H12,[1]사원명부!C$1:F$65536,4,0),"")</f>
        <v>연구원</v>
      </c>
      <c r="K12" s="12" t="str">
        <f>IFERROR(VLOOKUP(H12,[1]사원명부!C$1:G$65536,5,0),"")</f>
        <v>여자</v>
      </c>
      <c r="L12" s="4"/>
      <c r="M12" s="19">
        <v>9</v>
      </c>
      <c r="N12" s="19" t="s">
        <v>133</v>
      </c>
      <c r="O12" s="19" t="str">
        <f>IFERROR(VLOOKUP(N12,[1]사원명부!C$1:D$65536,2,0),"")</f>
        <v>솔루션사업부</v>
      </c>
      <c r="P12" s="19" t="str">
        <f>IFERROR(VLOOKUP(N12,[1]사원명부!C$1:F$65536,4,0),"")</f>
        <v>연구원</v>
      </c>
      <c r="Q12" s="19" t="str">
        <f>IFERROR(VLOOKUP(N12,[1]사원명부!C$1:G$65536,5,0),"")</f>
        <v>남자</v>
      </c>
      <c r="R12" s="8"/>
      <c r="S12" s="7">
        <v>9</v>
      </c>
      <c r="T12" s="7" t="s">
        <v>132</v>
      </c>
      <c r="U12" s="7" t="str">
        <f>IFERROR(VLOOKUP(T12,[1]사원명부!C$1:D$65536,2,0),"")</f>
        <v>CEO</v>
      </c>
      <c r="V12" s="7" t="str">
        <f>IFERROR(VLOOKUP(T12,[1]사원명부!C$1:F$65536,4,0),"")</f>
        <v>대표이사</v>
      </c>
      <c r="W12" s="7" t="str">
        <f>IFERROR(VLOOKUP(T12,[1]사원명부!C$1:G$65536,5,0),"")</f>
        <v>남자</v>
      </c>
    </row>
    <row r="13" spans="1:23" ht="16.5" x14ac:dyDescent="0.3">
      <c r="A13" s="14">
        <v>10</v>
      </c>
      <c r="B13" s="14" t="s">
        <v>131</v>
      </c>
      <c r="C13" s="14" t="str">
        <f>IFERROR(VLOOKUP(B13,[1]사원명부!C$1:D$65536,2,0),"")</f>
        <v>응용개발2팀</v>
      </c>
      <c r="D13" s="14" t="str">
        <f>IFERROR(VLOOKUP(B13,[1]사원명부!C$1:F$65536,4,0),"")</f>
        <v>책임</v>
      </c>
      <c r="E13" s="14" t="str">
        <f>IFERROR(VLOOKUP(B13,[1]사원명부!C$1:G$65536,5,0),"")</f>
        <v>남자</v>
      </c>
      <c r="F13" s="4"/>
      <c r="G13" s="12">
        <v>10</v>
      </c>
      <c r="H13" s="12" t="s">
        <v>130</v>
      </c>
      <c r="I13" s="12" t="str">
        <f>IFERROR(VLOOKUP(H13,[1]사원명부!C$1:D$65536,2,0),"")</f>
        <v>SM사업팀</v>
      </c>
      <c r="J13" s="12" t="str">
        <f>IFERROR(VLOOKUP(H13,[1]사원명부!C$1:F$65536,4,0),"")</f>
        <v>연구원</v>
      </c>
      <c r="K13" s="12" t="str">
        <f>IFERROR(VLOOKUP(H13,[1]사원명부!C$1:G$65536,5,0),"")</f>
        <v>여자</v>
      </c>
      <c r="L13" s="4"/>
      <c r="M13" s="19">
        <v>10</v>
      </c>
      <c r="N13" s="19" t="s">
        <v>129</v>
      </c>
      <c r="O13" s="19" t="str">
        <f>IFERROR(VLOOKUP(N13,[1]사원명부!C$1:D$65536,2,0),"")</f>
        <v>솔루션사업부</v>
      </c>
      <c r="P13" s="19" t="str">
        <f>IFERROR(VLOOKUP(N13,[1]사원명부!C$1:F$65536,4,0),"")</f>
        <v>연구원</v>
      </c>
      <c r="Q13" s="19" t="str">
        <f>IFERROR(VLOOKUP(N13,[1]사원명부!C$1:G$65536,5,0),"")</f>
        <v>남자</v>
      </c>
      <c r="R13" s="8"/>
      <c r="S13" s="7">
        <v>10</v>
      </c>
      <c r="T13" s="7" t="s">
        <v>128</v>
      </c>
      <c r="U13" s="7" t="str">
        <f>IFERROR(VLOOKUP(T13,[1]사원명부!C$1:D$65536,2,0),"")</f>
        <v>경영지원팀</v>
      </c>
      <c r="V13" s="7" t="str">
        <f>IFERROR(VLOOKUP(T13,[1]사원명부!C$1:F$65536,4,0),"")</f>
        <v>수석</v>
      </c>
      <c r="W13" s="7" t="str">
        <f>IFERROR(VLOOKUP(T13,[1]사원명부!C$1:G$65536,5,0),"")</f>
        <v>남자</v>
      </c>
    </row>
    <row r="14" spans="1:23" ht="16.5" x14ac:dyDescent="0.3">
      <c r="A14" s="14">
        <v>11</v>
      </c>
      <c r="B14" s="14" t="s">
        <v>127</v>
      </c>
      <c r="C14" s="14" t="str">
        <f>IFERROR(VLOOKUP(B14,[1]사원명부!C$1:D$65536,2,0),"")</f>
        <v>응용개발2팀</v>
      </c>
      <c r="D14" s="14" t="str">
        <f>IFERROR(VLOOKUP(B14,[1]사원명부!C$1:F$65536,4,0),"")</f>
        <v>전임</v>
      </c>
      <c r="E14" s="14" t="str">
        <f>IFERROR(VLOOKUP(B14,[1]사원명부!C$1:G$65536,5,0),"")</f>
        <v>여자</v>
      </c>
      <c r="F14" s="4"/>
      <c r="G14" s="12">
        <v>11</v>
      </c>
      <c r="H14" s="12" t="s">
        <v>126</v>
      </c>
      <c r="I14" s="12" t="str">
        <f>IFERROR(VLOOKUP(H14,[1]사원명부!C$1:D$65536,2,0),"")</f>
        <v>SM사업팀</v>
      </c>
      <c r="J14" s="12" t="str">
        <f>IFERROR(VLOOKUP(H14,[1]사원명부!C$1:F$65536,4,0),"")</f>
        <v>연구원</v>
      </c>
      <c r="K14" s="12" t="str">
        <f>IFERROR(VLOOKUP(H14,[1]사원명부!C$1:G$65536,5,0),"")</f>
        <v>남자</v>
      </c>
      <c r="L14" s="4"/>
      <c r="M14" s="19">
        <v>11</v>
      </c>
      <c r="N14" s="19" t="s">
        <v>125</v>
      </c>
      <c r="O14" s="19" t="str">
        <f>IFERROR(VLOOKUP(N14,[1]사원명부!C$1:D$65536,2,0),"")</f>
        <v>솔루션사업부</v>
      </c>
      <c r="P14" s="19" t="str">
        <f>IFERROR(VLOOKUP(N14,[1]사원명부!C$1:F$65536,4,0),"")</f>
        <v>연구원</v>
      </c>
      <c r="Q14" s="19" t="str">
        <f>IFERROR(VLOOKUP(N14,[1]사원명부!C$1:G$65536,5,0),"")</f>
        <v>여자</v>
      </c>
      <c r="R14" s="8"/>
      <c r="S14" s="7">
        <v>11</v>
      </c>
      <c r="T14" s="7" t="s">
        <v>124</v>
      </c>
      <c r="U14" s="7" t="str">
        <f>IFERROR(VLOOKUP(T14,[1]사원명부!C$1:D$65536,2,0),"")</f>
        <v>경영지원팀</v>
      </c>
      <c r="V14" s="7" t="str">
        <f>IFERROR(VLOOKUP(T14,[1]사원명부!C$1:F$65536,4,0),"")</f>
        <v>책임</v>
      </c>
      <c r="W14" s="7" t="str">
        <f>IFERROR(VLOOKUP(T14,[1]사원명부!C$1:G$65536,5,0),"")</f>
        <v>여자</v>
      </c>
    </row>
    <row r="15" spans="1:23" ht="16.5" x14ac:dyDescent="0.3">
      <c r="A15" s="14">
        <v>12</v>
      </c>
      <c r="B15" s="14" t="s">
        <v>123</v>
      </c>
      <c r="C15" s="14" t="str">
        <f>IFERROR(VLOOKUP(B15,[1]사원명부!C$1:D$65536,2,0),"")</f>
        <v>응용개발2팀</v>
      </c>
      <c r="D15" s="14" t="str">
        <f>IFERROR(VLOOKUP(B15,[1]사원명부!C$1:F$65536,4,0),"")</f>
        <v>연구원</v>
      </c>
      <c r="E15" s="14" t="str">
        <f>IFERROR(VLOOKUP(B15,[1]사원명부!C$1:G$65536,5,0),"")</f>
        <v>여자</v>
      </c>
      <c r="F15" s="4"/>
      <c r="G15" s="12">
        <v>12</v>
      </c>
      <c r="H15" s="12" t="s">
        <v>122</v>
      </c>
      <c r="I15" s="12" t="str">
        <f>IFERROR(VLOOKUP(H15,[1]사원명부!C$1:D$65536,2,0),"")</f>
        <v>SI사업팀</v>
      </c>
      <c r="J15" s="12" t="str">
        <f>IFERROR(VLOOKUP(H15,[1]사원명부!C$1:F$65536,4,0),"")</f>
        <v>수석</v>
      </c>
      <c r="K15" s="12" t="str">
        <f>IFERROR(VLOOKUP(H15,[1]사원명부!C$1:G$65536,5,0),"")</f>
        <v>남자</v>
      </c>
      <c r="L15" s="4"/>
      <c r="M15" s="19">
        <v>12</v>
      </c>
      <c r="N15" s="27" t="s">
        <v>121</v>
      </c>
      <c r="O15" s="27" t="str">
        <f>IFERROR(VLOOKUP(N15,[1]사원명부!C$1:D$65536,2,0),"")</f>
        <v>솔루션사업부</v>
      </c>
      <c r="P15" s="27" t="str">
        <f>IFERROR(VLOOKUP(N15,[1]사원명부!C$1:F$65536,4,0),"")</f>
        <v>이사</v>
      </c>
      <c r="Q15" s="27" t="str">
        <f>IFERROR(VLOOKUP(N15,[1]사원명부!C$1:G$65536,5,0),"")</f>
        <v>남자</v>
      </c>
      <c r="R15" s="8"/>
      <c r="S15" s="7">
        <v>12</v>
      </c>
      <c r="T15" s="7" t="s">
        <v>120</v>
      </c>
      <c r="U15" s="7" t="str">
        <f>IFERROR(VLOOKUP(T15,[1]사원명부!C$1:D$65536,2,0),"")</f>
        <v>경영지원팀</v>
      </c>
      <c r="V15" s="7" t="str">
        <f>IFERROR(VLOOKUP(T15,[1]사원명부!C$1:F$65536,4,0),"")</f>
        <v>선임</v>
      </c>
      <c r="W15" s="7" t="str">
        <f>IFERROR(VLOOKUP(T15,[1]사원명부!C$1:G$65536,5,0),"")</f>
        <v>남자</v>
      </c>
    </row>
    <row r="16" spans="1:23" ht="16.5" x14ac:dyDescent="0.3">
      <c r="A16" s="14">
        <v>13</v>
      </c>
      <c r="B16" s="14" t="s">
        <v>119</v>
      </c>
      <c r="C16" s="14" t="str">
        <f>IFERROR(VLOOKUP(B16,[1]사원명부!C$1:D$65536,2,0),"")</f>
        <v>응용개발2팀</v>
      </c>
      <c r="D16" s="14" t="str">
        <f>IFERROR(VLOOKUP(B16,[1]사원명부!C$1:F$65536,4,0),"")</f>
        <v>연구원</v>
      </c>
      <c r="E16" s="14" t="str">
        <f>IFERROR(VLOOKUP(B16,[1]사원명부!C$1:G$65536,5,0),"")</f>
        <v>남자</v>
      </c>
      <c r="F16" s="4"/>
      <c r="G16" s="12">
        <v>13</v>
      </c>
      <c r="H16" s="12" t="s">
        <v>118</v>
      </c>
      <c r="I16" s="12" t="str">
        <f>IFERROR(VLOOKUP(H16,[1]사원명부!C$1:D$65536,2,0),"")</f>
        <v>SI사업팀</v>
      </c>
      <c r="J16" s="12" t="str">
        <f>IFERROR(VLOOKUP(H16,[1]사원명부!C$1:F$65536,4,0),"")</f>
        <v>책임</v>
      </c>
      <c r="K16" s="12" t="str">
        <f>IFERROR(VLOOKUP(H16,[1]사원명부!C$1:G$65536,5,0),"")</f>
        <v>여자</v>
      </c>
      <c r="L16" s="4"/>
      <c r="M16" s="19">
        <v>13</v>
      </c>
      <c r="N16" s="19" t="s">
        <v>117</v>
      </c>
      <c r="O16" s="19" t="str">
        <f>IFERROR(VLOOKUP(N16,[1]사원명부!C$1:D$65536,2,0),"")</f>
        <v>항해통신사업부</v>
      </c>
      <c r="P16" s="19" t="str">
        <f>IFERROR(VLOOKUP(N16,[1]사원명부!C$1:F$65536,4,0),"")</f>
        <v>수석</v>
      </c>
      <c r="Q16" s="19" t="str">
        <f>IFERROR(VLOOKUP(N16,[1]사원명부!C$1:G$65536,5,0),"")</f>
        <v>남자</v>
      </c>
      <c r="R16" s="8"/>
      <c r="S16" s="7">
        <v>13</v>
      </c>
      <c r="T16" s="7" t="s">
        <v>116</v>
      </c>
      <c r="U16" s="7" t="str">
        <f>IFERROR(VLOOKUP(T16,[1]사원명부!C$1:D$65536,2,0),"")</f>
        <v>경영지원팀</v>
      </c>
      <c r="V16" s="7" t="str">
        <f>IFERROR(VLOOKUP(T16,[1]사원명부!C$1:F$65536,4,0),"")</f>
        <v>선임</v>
      </c>
      <c r="W16" s="7" t="str">
        <f>IFERROR(VLOOKUP(T16,[1]사원명부!C$1:G$65536,5,0),"")</f>
        <v>여자</v>
      </c>
    </row>
    <row r="17" spans="1:23" ht="16.5" x14ac:dyDescent="0.3">
      <c r="A17" s="14">
        <v>14</v>
      </c>
      <c r="B17" s="14" t="s">
        <v>115</v>
      </c>
      <c r="C17" s="14" t="str">
        <f>IFERROR(VLOOKUP(B17,[1]사원명부!C$1:D$65536,2,0),"")</f>
        <v>응용개발2팀</v>
      </c>
      <c r="D17" s="14" t="str">
        <f>IFERROR(VLOOKUP(B17,[1]사원명부!C$1:F$65536,4,0),"")</f>
        <v>연구원</v>
      </c>
      <c r="E17" s="14" t="str">
        <f>IFERROR(VLOOKUP(B17,[1]사원명부!C$1:G$65536,5,0),"")</f>
        <v>여자</v>
      </c>
      <c r="F17" s="4"/>
      <c r="G17" s="12">
        <v>14</v>
      </c>
      <c r="H17" s="12" t="s">
        <v>114</v>
      </c>
      <c r="I17" s="12" t="str">
        <f>IFERROR(VLOOKUP(H17,[1]사원명부!C$1:D$65536,2,0),"")</f>
        <v>SI사업팀</v>
      </c>
      <c r="J17" s="12" t="str">
        <f>IFERROR(VLOOKUP(H17,[1]사원명부!C$1:F$65536,4,0),"")</f>
        <v>책임</v>
      </c>
      <c r="K17" s="12" t="str">
        <f>IFERROR(VLOOKUP(H17,[1]사원명부!C$1:G$65536,5,0),"")</f>
        <v>남자</v>
      </c>
      <c r="L17" s="4"/>
      <c r="M17" s="19">
        <v>14</v>
      </c>
      <c r="N17" s="19" t="s">
        <v>113</v>
      </c>
      <c r="O17" s="19" t="str">
        <f>IFERROR(VLOOKUP(N17,[1]사원명부!C$1:D$65536,2,0),"")</f>
        <v>항해통신사업1팀</v>
      </c>
      <c r="P17" s="19" t="str">
        <f>IFERROR(VLOOKUP(N17,[1]사원명부!C$1:F$65536,4,0),"")</f>
        <v>수석</v>
      </c>
      <c r="Q17" s="19" t="str">
        <f>IFERROR(VLOOKUP(N17,[1]사원명부!C$1:G$65536,5,0),"")</f>
        <v>남자</v>
      </c>
      <c r="R17" s="8"/>
      <c r="S17" s="7">
        <v>14</v>
      </c>
      <c r="T17" s="7" t="s">
        <v>112</v>
      </c>
      <c r="U17" s="7" t="str">
        <f>IFERROR(VLOOKUP(T17,[1]사원명부!C$1:D$65536,2,0),"")</f>
        <v>경영지원팀</v>
      </c>
      <c r="V17" s="7" t="str">
        <f>IFERROR(VLOOKUP(T17,[1]사원명부!C$1:F$65536,4,0),"")</f>
        <v>전임</v>
      </c>
      <c r="W17" s="7" t="str">
        <f>IFERROR(VLOOKUP(T17,[1]사원명부!C$1:G$65536,5,0),"")</f>
        <v>여자</v>
      </c>
    </row>
    <row r="18" spans="1:23" ht="16.5" x14ac:dyDescent="0.3">
      <c r="A18" s="14">
        <v>15</v>
      </c>
      <c r="B18" s="14" t="s">
        <v>111</v>
      </c>
      <c r="C18" s="14" t="str">
        <f>IFERROR(VLOOKUP(B18,[1]사원명부!C$1:D$65536,2,0),"")</f>
        <v>비전개발센터</v>
      </c>
      <c r="D18" s="14" t="str">
        <f>IFERROR(VLOOKUP(B18,[1]사원명부!C$1:F$65536,4,0),"")</f>
        <v>수석</v>
      </c>
      <c r="E18" s="14" t="str">
        <f>IFERROR(VLOOKUP(B18,[1]사원명부!C$1:G$65536,5,0),"")</f>
        <v>남자</v>
      </c>
      <c r="F18" s="4"/>
      <c r="G18" s="12">
        <v>15</v>
      </c>
      <c r="H18" s="12" t="s">
        <v>110</v>
      </c>
      <c r="I18" s="12" t="str">
        <f>IFERROR(VLOOKUP(H18,[1]사원명부!C$1:D$65536,2,0),"")</f>
        <v>SI사업팀</v>
      </c>
      <c r="J18" s="12" t="str">
        <f>IFERROR(VLOOKUP(H18,[1]사원명부!C$1:F$65536,4,0),"")</f>
        <v>선임</v>
      </c>
      <c r="K18" s="12" t="str">
        <f>IFERROR(VLOOKUP(H18,[1]사원명부!C$1:G$65536,5,0),"")</f>
        <v>남자</v>
      </c>
      <c r="L18" s="4"/>
      <c r="M18" s="19">
        <v>15</v>
      </c>
      <c r="N18" s="19" t="s">
        <v>109</v>
      </c>
      <c r="O18" s="19" t="str">
        <f>IFERROR(VLOOKUP(N18,[1]사원명부!C$1:D$65536,2,0),"")</f>
        <v>항해통신사업1팀</v>
      </c>
      <c r="P18" s="19" t="str">
        <f>IFERROR(VLOOKUP(N18,[1]사원명부!C$1:F$65536,4,0),"")</f>
        <v>선임</v>
      </c>
      <c r="Q18" s="19" t="str">
        <f>IFERROR(VLOOKUP(N18,[1]사원명부!C$1:G$65536,5,0),"")</f>
        <v>남자</v>
      </c>
      <c r="R18" s="8"/>
      <c r="S18" s="7">
        <v>15</v>
      </c>
      <c r="T18" s="7" t="s">
        <v>108</v>
      </c>
      <c r="U18" s="7" t="str">
        <f>IFERROR(VLOOKUP(T18,[1]사원명부!C$1:D$65536,2,0),"")</f>
        <v>경영지원팀</v>
      </c>
      <c r="V18" s="7" t="str">
        <f>IFERROR(VLOOKUP(T18,[1]사원명부!C$1:F$65536,4,0),"")</f>
        <v>전임</v>
      </c>
      <c r="W18" s="7" t="str">
        <f>IFERROR(VLOOKUP(T18,[1]사원명부!C$1:G$65536,5,0),"")</f>
        <v>여자</v>
      </c>
    </row>
    <row r="19" spans="1:23" ht="16.5" x14ac:dyDescent="0.3">
      <c r="A19" s="14">
        <v>16</v>
      </c>
      <c r="B19" s="14" t="s">
        <v>107</v>
      </c>
      <c r="C19" s="14" t="str">
        <f>IFERROR(VLOOKUP(B19,[1]사원명부!C$1:D$65536,2,0),"")</f>
        <v>비전개발센터</v>
      </c>
      <c r="D19" s="14" t="str">
        <f>IFERROR(VLOOKUP(B19,[1]사원명부!C$1:F$65536,4,0),"")</f>
        <v>수석</v>
      </c>
      <c r="E19" s="14" t="str">
        <f>IFERROR(VLOOKUP(B19,[1]사원명부!C$1:G$65536,5,0),"")</f>
        <v>남자</v>
      </c>
      <c r="F19" s="4"/>
      <c r="G19" s="12">
        <v>16</v>
      </c>
      <c r="H19" s="12" t="s">
        <v>106</v>
      </c>
      <c r="I19" s="12" t="str">
        <f>IFERROR(VLOOKUP(H19,[1]사원명부!C$1:D$65536,2,0),"")</f>
        <v>SI사업팀</v>
      </c>
      <c r="J19" s="12" t="str">
        <f>IFERROR(VLOOKUP(H19,[1]사원명부!C$1:F$65536,4,0),"")</f>
        <v>전임</v>
      </c>
      <c r="K19" s="12" t="str">
        <f>IFERROR(VLOOKUP(H19,[1]사원명부!C$1:G$65536,5,0),"")</f>
        <v>여자</v>
      </c>
      <c r="L19" s="4"/>
      <c r="M19" s="19">
        <v>16</v>
      </c>
      <c r="N19" s="19" t="s">
        <v>105</v>
      </c>
      <c r="O19" s="19" t="str">
        <f>IFERROR(VLOOKUP(N19,[1]사원명부!C$1:D$65536,2,0),"")</f>
        <v>항해통신사업1팀</v>
      </c>
      <c r="P19" s="19" t="str">
        <f>IFERROR(VLOOKUP(N19,[1]사원명부!C$1:F$65536,4,0),"")</f>
        <v>전임</v>
      </c>
      <c r="Q19" s="19" t="str">
        <f>IFERROR(VLOOKUP(N19,[1]사원명부!C$1:G$65536,5,0),"")</f>
        <v>남자</v>
      </c>
      <c r="R19" s="8"/>
      <c r="S19" s="7">
        <v>16</v>
      </c>
      <c r="T19" s="7" t="s">
        <v>104</v>
      </c>
      <c r="U19" s="7" t="str">
        <f>IFERROR(VLOOKUP(T19,[1]사원명부!C$1:D$65536,2,0),"")</f>
        <v>구매팀</v>
      </c>
      <c r="V19" s="7" t="str">
        <f>IFERROR(VLOOKUP(T19,[1]사원명부!C$1:F$65536,4,0),"")</f>
        <v>책임</v>
      </c>
      <c r="W19" s="7" t="str">
        <f>IFERROR(VLOOKUP(T19,[1]사원명부!C$1:G$65536,5,0),"")</f>
        <v>남자</v>
      </c>
    </row>
    <row r="20" spans="1:23" ht="16.5" x14ac:dyDescent="0.3">
      <c r="A20" s="14">
        <v>17</v>
      </c>
      <c r="B20" s="14" t="s">
        <v>103</v>
      </c>
      <c r="C20" s="14" t="str">
        <f>IFERROR(VLOOKUP(B20,[1]사원명부!C$1:D$65536,2,0),"")</f>
        <v>비전개발센터</v>
      </c>
      <c r="D20" s="14" t="str">
        <f>IFERROR(VLOOKUP(B20,[1]사원명부!C$1:F$65536,4,0),"")</f>
        <v>책임</v>
      </c>
      <c r="E20" s="14" t="str">
        <f>IFERROR(VLOOKUP(B20,[1]사원명부!C$1:G$65536,5,0),"")</f>
        <v>남자</v>
      </c>
      <c r="F20" s="4"/>
      <c r="G20" s="12">
        <v>17</v>
      </c>
      <c r="H20" s="12" t="s">
        <v>102</v>
      </c>
      <c r="I20" s="12" t="str">
        <f>IFERROR(VLOOKUP(H20,[1]사원명부!C$1:D$65536,2,0),"")</f>
        <v>SI사업팀</v>
      </c>
      <c r="J20" s="12" t="str">
        <f>IFERROR(VLOOKUP(H20,[1]사원명부!C$1:F$65536,4,0),"")</f>
        <v>전임</v>
      </c>
      <c r="K20" s="12" t="str">
        <f>IFERROR(VLOOKUP(H20,[1]사원명부!C$1:G$65536,5,0),"")</f>
        <v>남자</v>
      </c>
      <c r="L20" s="4"/>
      <c r="M20" s="19">
        <v>17</v>
      </c>
      <c r="N20" s="19" t="s">
        <v>101</v>
      </c>
      <c r="O20" s="19" t="str">
        <f>IFERROR(VLOOKUP(N20,[1]사원명부!C$1:D$65536,2,0),"")</f>
        <v>항해통신사업1팀</v>
      </c>
      <c r="P20" s="19" t="str">
        <f>IFERROR(VLOOKUP(N20,[1]사원명부!C$1:F$65536,4,0),"")</f>
        <v>전임</v>
      </c>
      <c r="Q20" s="19" t="str">
        <f>IFERROR(VLOOKUP(N20,[1]사원명부!C$1:G$65536,5,0),"")</f>
        <v>남자</v>
      </c>
      <c r="R20" s="8"/>
      <c r="S20" s="7">
        <v>17</v>
      </c>
      <c r="T20" s="7" t="s">
        <v>100</v>
      </c>
      <c r="U20" s="7" t="str">
        <f>IFERROR(VLOOKUP(T20,[1]사원명부!C$1:D$65536,2,0),"")</f>
        <v>R&amp;D지원팀</v>
      </c>
      <c r="V20" s="7" t="str">
        <f>IFERROR(VLOOKUP(T20,[1]사원명부!C$1:F$65536,4,0),"")</f>
        <v>선임</v>
      </c>
      <c r="W20" s="7" t="str">
        <f>IFERROR(VLOOKUP(T20,[1]사원명부!C$1:G$65536,5,0),"")</f>
        <v>여자</v>
      </c>
    </row>
    <row r="21" spans="1:23" ht="16.5" x14ac:dyDescent="0.3">
      <c r="A21" s="14">
        <v>18</v>
      </c>
      <c r="B21" s="14" t="s">
        <v>99</v>
      </c>
      <c r="C21" s="14" t="str">
        <f>IFERROR(VLOOKUP(B21,[1]사원명부!C$1:D$65536,2,0),"")</f>
        <v>비전개발센터</v>
      </c>
      <c r="D21" s="14" t="str">
        <f>IFERROR(VLOOKUP(B21,[1]사원명부!C$1:F$65536,4,0),"")</f>
        <v>책임</v>
      </c>
      <c r="E21" s="14" t="str">
        <f>IFERROR(VLOOKUP(B21,[1]사원명부!C$1:G$65536,5,0),"")</f>
        <v>남자</v>
      </c>
      <c r="F21" s="4"/>
      <c r="G21" s="12">
        <v>18</v>
      </c>
      <c r="H21" s="12" t="s">
        <v>98</v>
      </c>
      <c r="I21" s="12" t="str">
        <f>IFERROR(VLOOKUP(H21,[1]사원명부!C$1:D$65536,2,0),"")</f>
        <v>SI사업팀</v>
      </c>
      <c r="J21" s="12" t="str">
        <f>IFERROR(VLOOKUP(H21,[1]사원명부!C$1:F$65536,4,0),"")</f>
        <v>이사</v>
      </c>
      <c r="K21" s="12" t="str">
        <f>IFERROR(VLOOKUP(H21,[1]사원명부!C$1:G$65536,5,0),"")</f>
        <v>남자</v>
      </c>
      <c r="L21" s="4"/>
      <c r="M21" s="19">
        <v>18</v>
      </c>
      <c r="N21" s="19" t="s">
        <v>97</v>
      </c>
      <c r="O21" s="19" t="str">
        <f>IFERROR(VLOOKUP(N21,[1]사원명부!C$1:D$65536,2,0),"")</f>
        <v>항해통신사업1팀</v>
      </c>
      <c r="P21" s="19" t="str">
        <f>IFERROR(VLOOKUP(N21,[1]사원명부!C$1:F$65536,4,0),"")</f>
        <v>전임</v>
      </c>
      <c r="Q21" s="19" t="str">
        <f>IFERROR(VLOOKUP(N21,[1]사원명부!C$1:G$65536,5,0),"")</f>
        <v>남자</v>
      </c>
      <c r="R21" s="8"/>
      <c r="S21" s="7">
        <v>18</v>
      </c>
      <c r="T21" s="7" t="s">
        <v>96</v>
      </c>
      <c r="U21" s="7" t="str">
        <f>IFERROR(VLOOKUP(T21,[1]사원명부!C$1:D$65536,2,0),"")</f>
        <v>R&amp;D지원팀</v>
      </c>
      <c r="V21" s="7" t="str">
        <f>IFERROR(VLOOKUP(T21,[1]사원명부!C$1:F$65536,4,0),"")</f>
        <v>전임</v>
      </c>
      <c r="W21" s="7" t="str">
        <f>IFERROR(VLOOKUP(T21,[1]사원명부!C$1:G$65536,5,0),"")</f>
        <v>여자</v>
      </c>
    </row>
    <row r="22" spans="1:23" ht="16.5" x14ac:dyDescent="0.3">
      <c r="A22" s="14">
        <v>19</v>
      </c>
      <c r="B22" s="14" t="s">
        <v>95</v>
      </c>
      <c r="C22" s="14" t="str">
        <f>IFERROR(VLOOKUP(B22,[1]사원명부!C$1:D$65536,2,0),"")</f>
        <v>비전개발센터</v>
      </c>
      <c r="D22" s="14" t="str">
        <f>IFERROR(VLOOKUP(B22,[1]사원명부!C$1:F$65536,4,0),"")</f>
        <v>선임</v>
      </c>
      <c r="E22" s="14" t="str">
        <f>IFERROR(VLOOKUP(B22,[1]사원명부!C$1:G$65536,5,0),"")</f>
        <v>남자</v>
      </c>
      <c r="F22" s="4"/>
      <c r="G22" s="12">
        <v>19</v>
      </c>
      <c r="H22" s="26" t="s">
        <v>94</v>
      </c>
      <c r="I22" s="26" t="str">
        <f>IFERROR(VLOOKUP(H22,[1]사원명부!C$1:D$65536,2,0),"")</f>
        <v>지능형해상교통사업부</v>
      </c>
      <c r="J22" s="26" t="str">
        <f>IFERROR(VLOOKUP(H22,[1]사원명부!C$1:F$65536,4,0),"")</f>
        <v>상무</v>
      </c>
      <c r="K22" s="26" t="str">
        <f>IFERROR(VLOOKUP(H22,[1]사원명부!C$1:G$65536,5,0),"")</f>
        <v>남자</v>
      </c>
      <c r="L22" s="4"/>
      <c r="M22" s="19">
        <v>19</v>
      </c>
      <c r="N22" s="19" t="s">
        <v>93</v>
      </c>
      <c r="O22" s="19" t="str">
        <f>IFERROR(VLOOKUP(N22,[1]사원명부!C$1:D$65536,2,0),"")</f>
        <v>항해통신사업2팀</v>
      </c>
      <c r="P22" s="19" t="str">
        <f>IFERROR(VLOOKUP(N22,[1]사원명부!C$1:F$65536,4,0),"")</f>
        <v>수석</v>
      </c>
      <c r="Q22" s="19" t="str">
        <f>IFERROR(VLOOKUP(N22,[1]사원명부!C$1:G$65536,5,0),"")</f>
        <v>남자</v>
      </c>
      <c r="R22" s="8"/>
      <c r="S22" s="7">
        <v>19</v>
      </c>
      <c r="T22" s="25" t="s">
        <v>92</v>
      </c>
      <c r="U22" s="25" t="str">
        <f>IFERROR(VLOOKUP(T22,[1]사원명부!C$1:D$65536,2,0),"")</f>
        <v>모빌리티사업부</v>
      </c>
      <c r="V22" s="25" t="str">
        <f>IFERROR(VLOOKUP(T22,[1]사원명부!C$1:F$65536,4,0),"")</f>
        <v>수석</v>
      </c>
      <c r="W22" s="25" t="str">
        <f>IFERROR(VLOOKUP(T22,[1]사원명부!C$1:G$65536,5,0),"")</f>
        <v>남자</v>
      </c>
    </row>
    <row r="23" spans="1:23" ht="16.5" x14ac:dyDescent="0.3">
      <c r="A23" s="14">
        <v>20</v>
      </c>
      <c r="B23" s="14" t="s">
        <v>91</v>
      </c>
      <c r="C23" s="14" t="str">
        <f>IFERROR(VLOOKUP(B23,[1]사원명부!C$1:D$65536,2,0),"")</f>
        <v>비전개발센터</v>
      </c>
      <c r="D23" s="14" t="str">
        <f>IFERROR(VLOOKUP(B23,[1]사원명부!C$1:F$65536,4,0),"")</f>
        <v>선임</v>
      </c>
      <c r="E23" s="14" t="str">
        <f>IFERROR(VLOOKUP(B23,[1]사원명부!C$1:G$65536,5,0),"")</f>
        <v>남자</v>
      </c>
      <c r="F23" s="4"/>
      <c r="G23" s="12">
        <v>20</v>
      </c>
      <c r="H23" s="12" t="s">
        <v>90</v>
      </c>
      <c r="I23" s="12" t="str">
        <f>IFERROR(VLOOKUP(H23,[1]사원명부!C$1:D$65536,2,0),"")</f>
        <v>사업기획팀</v>
      </c>
      <c r="J23" s="12" t="str">
        <f>IFERROR(VLOOKUP(H23,[1]사원명부!C$1:F$65536,4,0),"")</f>
        <v>선임</v>
      </c>
      <c r="K23" s="12" t="str">
        <f>IFERROR(VLOOKUP(H23,[1]사원명부!C$1:G$65536,5,0),"")</f>
        <v>여자</v>
      </c>
      <c r="L23" s="4"/>
      <c r="M23" s="19">
        <v>20</v>
      </c>
      <c r="N23" s="19" t="s">
        <v>89</v>
      </c>
      <c r="O23" s="19" t="str">
        <f>IFERROR(VLOOKUP(N23,[1]사원명부!C$1:D$65536,2,0),"")</f>
        <v>항해통신사업2팀</v>
      </c>
      <c r="P23" s="19" t="str">
        <f>IFERROR(VLOOKUP(N23,[1]사원명부!C$1:F$65536,4,0),"")</f>
        <v>수석</v>
      </c>
      <c r="Q23" s="19" t="str">
        <f>IFERROR(VLOOKUP(N23,[1]사원명부!C$1:G$65536,5,0),"")</f>
        <v>남자</v>
      </c>
      <c r="R23" s="8"/>
      <c r="S23" s="7">
        <v>20</v>
      </c>
      <c r="T23" s="7" t="s">
        <v>88</v>
      </c>
      <c r="U23" s="7" t="str">
        <f>IFERROR(VLOOKUP(T23,[1]사원명부!C$1:D$65536,2,0),"")</f>
        <v>모빌리티사업1팀</v>
      </c>
      <c r="V23" s="7" t="str">
        <f>IFERROR(VLOOKUP(T23,[1]사원명부!C$1:F$65536,4,0),"")</f>
        <v>수석</v>
      </c>
      <c r="W23" s="7" t="str">
        <f>IFERROR(VLOOKUP(T23,[1]사원명부!C$1:G$65536,5,0),"")</f>
        <v>남자</v>
      </c>
    </row>
    <row r="24" spans="1:23" ht="15.75" customHeight="1" x14ac:dyDescent="0.3">
      <c r="A24" s="14">
        <v>21</v>
      </c>
      <c r="B24" s="14" t="s">
        <v>87</v>
      </c>
      <c r="C24" s="14" t="str">
        <f>IFERROR(VLOOKUP(B24,[1]사원명부!C$1:D$65536,2,0),"")</f>
        <v>비전개발센터</v>
      </c>
      <c r="D24" s="14" t="str">
        <f>IFERROR(VLOOKUP(B24,[1]사원명부!C$1:F$65536,4,0),"")</f>
        <v>선임</v>
      </c>
      <c r="E24" s="14" t="str">
        <f>IFERROR(VLOOKUP(B24,[1]사원명부!C$1:G$65536,5,0),"")</f>
        <v>여자</v>
      </c>
      <c r="F24" s="4"/>
      <c r="G24" s="12">
        <v>21</v>
      </c>
      <c r="H24" s="12" t="s">
        <v>86</v>
      </c>
      <c r="I24" s="12" t="str">
        <f>IFERROR(VLOOKUP(H24,[1]사원명부!C$1:D$65536,2,0),"")</f>
        <v>사업기획팀</v>
      </c>
      <c r="J24" s="12" t="str">
        <f>IFERROR(VLOOKUP(H24,[1]사원명부!C$1:F$65536,4,0),"")</f>
        <v>전임</v>
      </c>
      <c r="K24" s="12" t="str">
        <f>IFERROR(VLOOKUP(H24,[1]사원명부!C$1:G$65536,5,0),"")</f>
        <v>여자</v>
      </c>
      <c r="L24" s="4"/>
      <c r="M24" s="19">
        <v>21</v>
      </c>
      <c r="N24" s="19" t="s">
        <v>85</v>
      </c>
      <c r="O24" s="19" t="str">
        <f>IFERROR(VLOOKUP(N24,[1]사원명부!C$1:D$65536,2,0),"")</f>
        <v>항해통신사업2팀</v>
      </c>
      <c r="P24" s="19" t="str">
        <f>IFERROR(VLOOKUP(N24,[1]사원명부!C$1:F$65536,4,0),"")</f>
        <v>수석</v>
      </c>
      <c r="Q24" s="19" t="str">
        <f>IFERROR(VLOOKUP(N24,[1]사원명부!C$1:G$65536,5,0),"")</f>
        <v>남자</v>
      </c>
      <c r="R24" s="8"/>
      <c r="S24" s="7">
        <v>21</v>
      </c>
      <c r="T24" s="7" t="s">
        <v>84</v>
      </c>
      <c r="U24" s="7" t="str">
        <f>IFERROR(VLOOKUP(T24,[1]사원명부!C$1:D$65536,2,0),"")</f>
        <v>모빌리티사업1팀</v>
      </c>
      <c r="V24" s="7" t="str">
        <f>IFERROR(VLOOKUP(T24,[1]사원명부!C$1:F$65536,4,0),"")</f>
        <v>선임</v>
      </c>
      <c r="W24" s="7" t="str">
        <f>IFERROR(VLOOKUP(T24,[1]사원명부!C$1:G$65536,5,0),"")</f>
        <v>남자</v>
      </c>
    </row>
    <row r="25" spans="1:23" ht="16.5" x14ac:dyDescent="0.3">
      <c r="A25" s="14">
        <v>22</v>
      </c>
      <c r="B25" s="14" t="s">
        <v>83</v>
      </c>
      <c r="C25" s="14" t="str">
        <f>IFERROR(VLOOKUP(B25,[1]사원명부!C$1:D$65536,2,0),"")</f>
        <v>비전개발센터</v>
      </c>
      <c r="D25" s="14" t="str">
        <f>IFERROR(VLOOKUP(B25,[1]사원명부!C$1:F$65536,4,0),"")</f>
        <v>전임</v>
      </c>
      <c r="E25" s="14" t="str">
        <f>IFERROR(VLOOKUP(B25,[1]사원명부!C$1:G$65536,5,0),"")</f>
        <v>남자</v>
      </c>
      <c r="F25" s="4"/>
      <c r="G25" s="12">
        <v>22</v>
      </c>
      <c r="H25" s="12" t="s">
        <v>82</v>
      </c>
      <c r="I25" s="12" t="str">
        <f>IFERROR(VLOOKUP(H25,[1]사원명부!C$1:D$65536,2,0),"")</f>
        <v>사업수행팀</v>
      </c>
      <c r="J25" s="12" t="str">
        <f>IFERROR(VLOOKUP(H25,[1]사원명부!C$1:F$65536,4,0),"")</f>
        <v>책임</v>
      </c>
      <c r="K25" s="12" t="str">
        <f>IFERROR(VLOOKUP(H25,[1]사원명부!C$1:G$65536,5,0),"")</f>
        <v>남자</v>
      </c>
      <c r="L25" s="4"/>
      <c r="M25" s="19">
        <v>22</v>
      </c>
      <c r="N25" s="19" t="s">
        <v>81</v>
      </c>
      <c r="O25" s="19" t="str">
        <f>IFERROR(VLOOKUP(N25,[1]사원명부!C$1:D$65536,2,0),"")</f>
        <v>항해통신사업2팀</v>
      </c>
      <c r="P25" s="19" t="str">
        <f>IFERROR(VLOOKUP(N25,[1]사원명부!C$1:F$65536,4,0),"")</f>
        <v>수석</v>
      </c>
      <c r="Q25" s="19" t="str">
        <f>IFERROR(VLOOKUP(N25,[1]사원명부!C$1:G$65536,5,0),"")</f>
        <v>남자</v>
      </c>
      <c r="R25" s="8"/>
      <c r="S25" s="7">
        <v>22</v>
      </c>
      <c r="T25" s="7" t="s">
        <v>80</v>
      </c>
      <c r="U25" s="7" t="str">
        <f>IFERROR(VLOOKUP(T25,[1]사원명부!C$1:D$65536,2,0),"")</f>
        <v>모빌리티사업1팀</v>
      </c>
      <c r="V25" s="7" t="str">
        <f>IFERROR(VLOOKUP(T25,[1]사원명부!C$1:F$65536,4,0),"")</f>
        <v>사원</v>
      </c>
      <c r="W25" s="7" t="str">
        <f>IFERROR(VLOOKUP(T25,[1]사원명부!C$1:G$65536,5,0),"")</f>
        <v>여자</v>
      </c>
    </row>
    <row r="26" spans="1:23" ht="16.5" x14ac:dyDescent="0.3">
      <c r="A26" s="14">
        <v>23</v>
      </c>
      <c r="B26" s="14" t="s">
        <v>79</v>
      </c>
      <c r="C26" s="14" t="str">
        <f>IFERROR(VLOOKUP(B26,[1]사원명부!C$1:D$65536,2,0),"")</f>
        <v>비전개발센터</v>
      </c>
      <c r="D26" s="14" t="str">
        <f>IFERROR(VLOOKUP(B26,[1]사원명부!C$1:F$65536,4,0),"")</f>
        <v>전임</v>
      </c>
      <c r="E26" s="14" t="str">
        <f>IFERROR(VLOOKUP(B26,[1]사원명부!C$1:G$65536,5,0),"")</f>
        <v>여자</v>
      </c>
      <c r="F26" s="4"/>
      <c r="G26" s="12">
        <v>23</v>
      </c>
      <c r="H26" s="12" t="s">
        <v>78</v>
      </c>
      <c r="I26" s="12" t="str">
        <f>IFERROR(VLOOKUP(H26,[1]사원명부!C$1:D$65536,2,0),"")</f>
        <v>사업수행팀</v>
      </c>
      <c r="J26" s="12" t="str">
        <f>IFERROR(VLOOKUP(H26,[1]사원명부!C$1:F$65536,4,0),"")</f>
        <v>책임</v>
      </c>
      <c r="K26" s="12" t="str">
        <f>IFERROR(VLOOKUP(H26,[1]사원명부!C$1:G$65536,5,0),"")</f>
        <v>남자</v>
      </c>
      <c r="L26" s="4"/>
      <c r="M26" s="19">
        <v>23</v>
      </c>
      <c r="N26" s="19" t="s">
        <v>77</v>
      </c>
      <c r="O26" s="19" t="str">
        <f>IFERROR(VLOOKUP(N26,[1]사원명부!C$1:D$65536,2,0),"")</f>
        <v>항해통신사업2팀</v>
      </c>
      <c r="P26" s="19" t="str">
        <f>IFERROR(VLOOKUP(N26,[1]사원명부!C$1:F$65536,4,0),"")</f>
        <v>수석</v>
      </c>
      <c r="Q26" s="19" t="str">
        <f>IFERROR(VLOOKUP(N26,[1]사원명부!C$1:G$65536,5,0),"")</f>
        <v>남자</v>
      </c>
      <c r="R26" s="8"/>
      <c r="S26" s="7">
        <v>23</v>
      </c>
      <c r="T26" s="7" t="s">
        <v>76</v>
      </c>
      <c r="U26" s="7" t="str">
        <f>IFERROR(VLOOKUP(T26,[1]사원명부!C$1:D$65536,2,0),"")</f>
        <v>모빌리티사업2팀</v>
      </c>
      <c r="V26" s="7" t="str">
        <f>IFERROR(VLOOKUP(T26,[1]사원명부!C$1:F$65536,4,0),"")</f>
        <v>수석</v>
      </c>
      <c r="W26" s="7" t="str">
        <f>IFERROR(VLOOKUP(T26,[1]사원명부!C$1:G$65536,5,0),"")</f>
        <v>남자</v>
      </c>
    </row>
    <row r="27" spans="1:23" ht="16.5" x14ac:dyDescent="0.3">
      <c r="A27" s="14">
        <v>24</v>
      </c>
      <c r="B27" s="14" t="s">
        <v>75</v>
      </c>
      <c r="C27" s="14" t="str">
        <f>IFERROR(VLOOKUP(B27,[1]사원명부!C$1:D$65536,2,0),"")</f>
        <v>비전개발센터</v>
      </c>
      <c r="D27" s="14" t="str">
        <f>IFERROR(VLOOKUP(B27,[1]사원명부!C$1:F$65536,4,0),"")</f>
        <v>전임</v>
      </c>
      <c r="E27" s="14" t="str">
        <f>IFERROR(VLOOKUP(B27,[1]사원명부!C$1:G$65536,5,0),"")</f>
        <v>남자</v>
      </c>
      <c r="F27" s="4"/>
      <c r="G27" s="12">
        <v>24</v>
      </c>
      <c r="H27" s="12" t="s">
        <v>74</v>
      </c>
      <c r="I27" s="12" t="str">
        <f>IFERROR(VLOOKUP(H27,[1]사원명부!C$1:D$65536,2,0),"")</f>
        <v>사업수행팀</v>
      </c>
      <c r="J27" s="12" t="str">
        <f>IFERROR(VLOOKUP(H27,[1]사원명부!C$1:F$65536,4,0),"")</f>
        <v>선임</v>
      </c>
      <c r="K27" s="12" t="str">
        <f>IFERROR(VLOOKUP(H27,[1]사원명부!C$1:G$65536,5,0),"")</f>
        <v>남자</v>
      </c>
      <c r="L27" s="4"/>
      <c r="M27" s="19">
        <v>24</v>
      </c>
      <c r="N27" s="19" t="s">
        <v>73</v>
      </c>
      <c r="O27" s="19" t="str">
        <f>IFERROR(VLOOKUP(N27,[1]사원명부!C$1:D$65536,2,0),"")</f>
        <v>항해통신사업2팀</v>
      </c>
      <c r="P27" s="19" t="str">
        <f>IFERROR(VLOOKUP(N27,[1]사원명부!C$1:F$65536,4,0),"")</f>
        <v>책임</v>
      </c>
      <c r="Q27" s="19" t="str">
        <f>IFERROR(VLOOKUP(N27,[1]사원명부!C$1:G$65536,5,0),"")</f>
        <v>남자</v>
      </c>
      <c r="R27" s="8"/>
      <c r="S27" s="7">
        <v>24</v>
      </c>
      <c r="T27" s="7" t="s">
        <v>72</v>
      </c>
      <c r="U27" s="7" t="str">
        <f>IFERROR(VLOOKUP(T27,[1]사원명부!C$1:D$65536,2,0),"")</f>
        <v>모빌리티사업2팀</v>
      </c>
      <c r="V27" s="7" t="str">
        <f>IFERROR(VLOOKUP(T27,[1]사원명부!C$1:F$65536,4,0),"")</f>
        <v>책임</v>
      </c>
      <c r="W27" s="7" t="str">
        <f>IFERROR(VLOOKUP(T27,[1]사원명부!C$1:G$65536,5,0),"")</f>
        <v>남자</v>
      </c>
    </row>
    <row r="28" spans="1:23" ht="16.5" x14ac:dyDescent="0.3">
      <c r="A28" s="14">
        <v>25</v>
      </c>
      <c r="B28" s="14" t="s">
        <v>71</v>
      </c>
      <c r="C28" s="14" t="str">
        <f>IFERROR(VLOOKUP(B28,[1]사원명부!C$1:D$65536,2,0),"")</f>
        <v>비전개발센터</v>
      </c>
      <c r="D28" s="14" t="str">
        <f>IFERROR(VLOOKUP(B28,[1]사원명부!C$1:F$65536,4,0),"")</f>
        <v>전임</v>
      </c>
      <c r="E28" s="14" t="str">
        <f>IFERROR(VLOOKUP(B28,[1]사원명부!C$1:G$65536,5,0),"")</f>
        <v>여자</v>
      </c>
      <c r="F28" s="4"/>
      <c r="G28" s="12">
        <v>25</v>
      </c>
      <c r="H28" s="12" t="s">
        <v>70</v>
      </c>
      <c r="I28" s="12" t="str">
        <f>IFERROR(VLOOKUP(H28,[1]사원명부!C$1:D$65536,2,0),"")</f>
        <v>사업수행팀</v>
      </c>
      <c r="J28" s="12" t="str">
        <f>IFERROR(VLOOKUP(H28,[1]사원명부!C$1:F$65536,4,0),"")</f>
        <v>전임</v>
      </c>
      <c r="K28" s="12" t="str">
        <f>IFERROR(VLOOKUP(H28,[1]사원명부!C$1:G$65536,5,0),"")</f>
        <v>남자</v>
      </c>
      <c r="L28" s="4"/>
      <c r="M28" s="19">
        <v>25</v>
      </c>
      <c r="N28" s="19" t="s">
        <v>69</v>
      </c>
      <c r="O28" s="19" t="str">
        <f>IFERROR(VLOOKUP(N28,[1]사원명부!C$1:D$65536,2,0),"")</f>
        <v>항해통신사업2팀</v>
      </c>
      <c r="P28" s="19" t="str">
        <f>IFERROR(VLOOKUP(N28,[1]사원명부!C$1:F$65536,4,0),"")</f>
        <v>선임</v>
      </c>
      <c r="Q28" s="19" t="str">
        <f>IFERROR(VLOOKUP(N28,[1]사원명부!C$1:G$65536,5,0),"")</f>
        <v>남자</v>
      </c>
      <c r="R28" s="8"/>
      <c r="S28" s="7">
        <v>25</v>
      </c>
      <c r="T28" s="7" t="s">
        <v>68</v>
      </c>
      <c r="U28" s="7" t="str">
        <f>IFERROR(VLOOKUP(T28,[1]사원명부!C$1:D$65536,2,0),"")</f>
        <v>모빌리티사업2팀</v>
      </c>
      <c r="V28" s="7" t="str">
        <f>IFERROR(VLOOKUP(T28,[1]사원명부!C$1:F$65536,4,0),"")</f>
        <v>책임</v>
      </c>
      <c r="W28" s="7" t="str">
        <f>IFERROR(VLOOKUP(T28,[1]사원명부!C$1:G$65536,5,0),"")</f>
        <v>남자</v>
      </c>
    </row>
    <row r="29" spans="1:23" ht="16.5" x14ac:dyDescent="0.3">
      <c r="A29" s="14">
        <v>26</v>
      </c>
      <c r="B29" s="14" t="s">
        <v>67</v>
      </c>
      <c r="C29" s="14" t="str">
        <f>IFERROR(VLOOKUP(B29,[1]사원명부!C$1:D$65536,2,0),"")</f>
        <v>비전개발센터</v>
      </c>
      <c r="D29" s="14" t="str">
        <f>IFERROR(VLOOKUP(B29,[1]사원명부!C$1:F$65536,4,0),"")</f>
        <v>연구원</v>
      </c>
      <c r="E29" s="14" t="str">
        <f>IFERROR(VLOOKUP(B29,[1]사원명부!C$1:G$65536,5,0),"")</f>
        <v>남자</v>
      </c>
      <c r="F29" s="4"/>
      <c r="G29" s="12">
        <v>26</v>
      </c>
      <c r="H29" s="12" t="s">
        <v>66</v>
      </c>
      <c r="I29" s="12" t="str">
        <f>IFERROR(VLOOKUP(H29,[1]사원명부!C$1:D$65536,2,0),"")</f>
        <v>사업수행팀</v>
      </c>
      <c r="J29" s="12" t="str">
        <f>IFERROR(VLOOKUP(H29,[1]사원명부!C$1:F$65536,4,0),"")</f>
        <v>전임</v>
      </c>
      <c r="K29" s="12" t="str">
        <f>IFERROR(VLOOKUP(H29,[1]사원명부!C$1:G$65536,5,0),"")</f>
        <v>남자</v>
      </c>
      <c r="L29" s="4"/>
      <c r="M29" s="19">
        <v>26</v>
      </c>
      <c r="N29" s="19" t="s">
        <v>65</v>
      </c>
      <c r="O29" s="19" t="str">
        <f>IFERROR(VLOOKUP(N29,[1]사원명부!C$1:D$65536,2,0),"")</f>
        <v>항해통신사업2팀</v>
      </c>
      <c r="P29" s="19" t="str">
        <f>IFERROR(VLOOKUP(N29,[1]사원명부!C$1:F$65536,4,0),"")</f>
        <v>전임</v>
      </c>
      <c r="Q29" s="19" t="str">
        <f>IFERROR(VLOOKUP(N29,[1]사원명부!C$1:G$65536,5,0),"")</f>
        <v>남자</v>
      </c>
      <c r="R29" s="8"/>
      <c r="S29" s="7">
        <v>26</v>
      </c>
      <c r="T29" s="7" t="s">
        <v>64</v>
      </c>
      <c r="U29" s="7" t="str">
        <f>IFERROR(VLOOKUP(T29,[1]사원명부!C$1:D$65536,2,0),"")</f>
        <v>모빌리티사업2팀</v>
      </c>
      <c r="V29" s="7" t="str">
        <f>IFERROR(VLOOKUP(T29,[1]사원명부!C$1:F$65536,4,0),"")</f>
        <v>선임</v>
      </c>
      <c r="W29" s="7" t="str">
        <f>IFERROR(VLOOKUP(T29,[1]사원명부!C$1:G$65536,5,0),"")</f>
        <v>남자</v>
      </c>
    </row>
    <row r="30" spans="1:23" ht="16.5" x14ac:dyDescent="0.3">
      <c r="A30" s="14">
        <v>27</v>
      </c>
      <c r="B30" s="14" t="s">
        <v>63</v>
      </c>
      <c r="C30" s="14" t="str">
        <f>IFERROR(VLOOKUP(B30,[1]사원명부!C$1:D$65536,2,0),"")</f>
        <v>비전개발센터</v>
      </c>
      <c r="D30" s="14" t="str">
        <f>IFERROR(VLOOKUP(B30,[1]사원명부!C$1:F$65536,4,0),"")</f>
        <v>연구원</v>
      </c>
      <c r="E30" s="14" t="str">
        <f>IFERROR(VLOOKUP(B30,[1]사원명부!C$1:G$65536,5,0),"")</f>
        <v>남자</v>
      </c>
      <c r="F30" s="4"/>
      <c r="G30" s="12">
        <v>27</v>
      </c>
      <c r="H30" s="12" t="s">
        <v>62</v>
      </c>
      <c r="I30" s="12" t="str">
        <f>IFERROR(VLOOKUP(H30,[1]사원명부!C$1:D$65536,2,0),"")</f>
        <v>사업수행팀</v>
      </c>
      <c r="J30" s="12" t="str">
        <f>IFERROR(VLOOKUP(H30,[1]사원명부!C$1:F$65536,4,0),"")</f>
        <v>전임</v>
      </c>
      <c r="K30" s="12" t="str">
        <f>IFERROR(VLOOKUP(H30,[1]사원명부!C$1:G$65536,5,0),"")</f>
        <v>남자</v>
      </c>
      <c r="L30" s="4"/>
      <c r="M30" s="19">
        <v>27</v>
      </c>
      <c r="N30" s="19" t="s">
        <v>61</v>
      </c>
      <c r="O30" s="19" t="str">
        <f>IFERROR(VLOOKUP(N30,[1]사원명부!C$1:D$65536,2,0),"")</f>
        <v>항해통신사업2팀</v>
      </c>
      <c r="P30" s="19" t="str">
        <f>IFERROR(VLOOKUP(N30,[1]사원명부!C$1:F$65536,4,0),"")</f>
        <v>전임</v>
      </c>
      <c r="Q30" s="19" t="str">
        <f>IFERROR(VLOOKUP(N30,[1]사원명부!C$1:G$65536,5,0),"")</f>
        <v>남자</v>
      </c>
      <c r="R30" s="8"/>
      <c r="S30" s="7">
        <v>27</v>
      </c>
      <c r="T30" s="7" t="s">
        <v>60</v>
      </c>
      <c r="U30" s="7" t="str">
        <f>IFERROR(VLOOKUP(T30,[1]사원명부!C$1:D$65536,2,0),"")</f>
        <v>모빌리티사업2팀</v>
      </c>
      <c r="V30" s="7" t="str">
        <f>IFERROR(VLOOKUP(T30,[1]사원명부!C$1:F$65536,4,0),"")</f>
        <v>연구원</v>
      </c>
      <c r="W30" s="7" t="str">
        <f>IFERROR(VLOOKUP(T30,[1]사원명부!C$1:G$65536,5,0),"")</f>
        <v>여자</v>
      </c>
    </row>
    <row r="31" spans="1:23" ht="16.5" x14ac:dyDescent="0.3">
      <c r="A31" s="14">
        <v>28</v>
      </c>
      <c r="B31" s="14" t="s">
        <v>59</v>
      </c>
      <c r="C31" s="14" t="str">
        <f>IFERROR(VLOOKUP(B31,[1]사원명부!C$1:D$65536,2,0),"")</f>
        <v>비전개발센터</v>
      </c>
      <c r="D31" s="14" t="str">
        <f>IFERROR(VLOOKUP(B31,[1]사원명부!C$1:F$65536,4,0),"")</f>
        <v>연구원</v>
      </c>
      <c r="E31" s="14" t="str">
        <f>IFERROR(VLOOKUP(B31,[1]사원명부!C$1:G$65536,5,0),"")</f>
        <v>남자</v>
      </c>
      <c r="F31" s="4"/>
      <c r="G31" s="12">
        <v>28</v>
      </c>
      <c r="H31" s="12" t="s">
        <v>58</v>
      </c>
      <c r="I31" s="12" t="str">
        <f>IFERROR(VLOOKUP(H31,[1]사원명부!C$1:D$65536,2,0),"")</f>
        <v>사업수행팀</v>
      </c>
      <c r="J31" s="12" t="str">
        <f>IFERROR(VLOOKUP(H31,[1]사원명부!C$1:F$65536,4,0),"")</f>
        <v>연구원</v>
      </c>
      <c r="K31" s="12" t="str">
        <f>IFERROR(VLOOKUP(H31,[1]사원명부!C$1:G$65536,5,0),"")</f>
        <v>남자</v>
      </c>
      <c r="L31" s="4"/>
      <c r="M31" s="19">
        <v>28</v>
      </c>
      <c r="N31" s="19" t="s">
        <v>57</v>
      </c>
      <c r="O31" s="19" t="str">
        <f>IFERROR(VLOOKUP(N31,[1]사원명부!C$1:D$65536,2,0),"")</f>
        <v>항해통신사업2팀</v>
      </c>
      <c r="P31" s="19" t="str">
        <f>IFERROR(VLOOKUP(N31,[1]사원명부!C$1:F$65536,4,0),"")</f>
        <v>전임</v>
      </c>
      <c r="Q31" s="19" t="str">
        <f>IFERROR(VLOOKUP(N31,[1]사원명부!C$1:G$65536,5,0),"")</f>
        <v>남자</v>
      </c>
      <c r="R31" s="8"/>
      <c r="S31" s="7">
        <v>28</v>
      </c>
      <c r="T31" s="7" t="s">
        <v>56</v>
      </c>
      <c r="U31" s="7" t="str">
        <f>IFERROR(VLOOKUP(T31,[1]사원명부!C$1:D$65536,2,0),"")</f>
        <v>모빌리티사업2팀</v>
      </c>
      <c r="V31" s="7" t="str">
        <f>IFERROR(VLOOKUP(T31,[1]사원명부!C$1:F$65536,4,0),"")</f>
        <v>사원</v>
      </c>
      <c r="W31" s="7" t="str">
        <f>IFERROR(VLOOKUP(T31,[1]사원명부!C$1:G$65536,5,0),"")</f>
        <v>여자</v>
      </c>
    </row>
    <row r="32" spans="1:23" ht="16.5" x14ac:dyDescent="0.3">
      <c r="A32" s="14">
        <v>29</v>
      </c>
      <c r="B32" s="14" t="s">
        <v>55</v>
      </c>
      <c r="C32" s="14" t="str">
        <f>IFERROR(VLOOKUP(B32,[1]사원명부!C$1:D$65536,2,0),"")</f>
        <v>비전개발센터</v>
      </c>
      <c r="D32" s="14" t="str">
        <f>IFERROR(VLOOKUP(B32,[1]사원명부!C$1:F$65536,4,0),"")</f>
        <v>연구원</v>
      </c>
      <c r="E32" s="14" t="str">
        <f>IFERROR(VLOOKUP(B32,[1]사원명부!C$1:G$65536,5,0),"")</f>
        <v>남자</v>
      </c>
      <c r="F32" s="4"/>
      <c r="G32" s="12">
        <v>29</v>
      </c>
      <c r="H32" s="12" t="s">
        <v>54</v>
      </c>
      <c r="I32" s="12" t="str">
        <f>IFERROR(VLOOKUP(H32,[1]사원명부!C$1:D$65536,2,0),"")</f>
        <v>사업수행팀</v>
      </c>
      <c r="J32" s="12" t="str">
        <f>IFERROR(VLOOKUP(H32,[1]사원명부!C$1:F$65536,4,0),"")</f>
        <v>연구원</v>
      </c>
      <c r="K32" s="12" t="str">
        <f>IFERROR(VLOOKUP(H32,[1]사원명부!C$1:G$65536,5,0),"")</f>
        <v>남자</v>
      </c>
      <c r="L32" s="4"/>
      <c r="M32" s="19">
        <v>29</v>
      </c>
      <c r="N32" s="19" t="s">
        <v>53</v>
      </c>
      <c r="O32" s="19" t="str">
        <f>IFERROR(VLOOKUP(N32,[1]사원명부!C$1:D$65536,2,0),"")</f>
        <v>항해통신사업2팀</v>
      </c>
      <c r="P32" s="19" t="str">
        <f>IFERROR(VLOOKUP(N32,[1]사원명부!C$1:F$65536,4,0),"")</f>
        <v>연구원</v>
      </c>
      <c r="Q32" s="19" t="str">
        <f>IFERROR(VLOOKUP(N32,[1]사원명부!C$1:G$65536,5,0),"")</f>
        <v>남자</v>
      </c>
      <c r="R32" s="8"/>
      <c r="S32" s="7">
        <v>29</v>
      </c>
      <c r="T32" s="7" t="s">
        <v>52</v>
      </c>
      <c r="U32" s="7" t="str">
        <f>IFERROR(VLOOKUP(T32,[1]사원명부!C$1:D$65536,2,0),"")</f>
        <v>자문위원</v>
      </c>
      <c r="V32" s="7" t="str">
        <f>IFERROR(VLOOKUP(T32,[1]사원명부!C$1:F$65536,4,0),"")</f>
        <v>고문</v>
      </c>
      <c r="W32" s="7" t="str">
        <f>IFERROR(VLOOKUP(T32,[1]사원명부!C$1:G$65536,5,0),"")</f>
        <v>남자</v>
      </c>
    </row>
    <row r="33" spans="1:23" ht="16.5" x14ac:dyDescent="0.3">
      <c r="A33" s="14">
        <v>30</v>
      </c>
      <c r="B33" s="14" t="s">
        <v>51</v>
      </c>
      <c r="C33" s="14" t="str">
        <f>IFERROR(VLOOKUP(B33,[1]사원명부!C$1:D$65536,2,0),"")</f>
        <v>플랫폼개발센터</v>
      </c>
      <c r="D33" s="14" t="str">
        <f>IFERROR(VLOOKUP(B33,[1]사원명부!C$1:F$65536,4,0),"")</f>
        <v>수석</v>
      </c>
      <c r="E33" s="14" t="str">
        <f>IFERROR(VLOOKUP(B33,[1]사원명부!C$1:G$65536,5,0),"")</f>
        <v>남자</v>
      </c>
      <c r="F33" s="4"/>
      <c r="G33" s="12">
        <v>30</v>
      </c>
      <c r="H33" s="12" t="s">
        <v>50</v>
      </c>
      <c r="I33" s="12" t="str">
        <f>IFERROR(VLOOKUP(H33,[1]사원명부!C$1:D$65536,2,0),"")</f>
        <v>사업수행팀</v>
      </c>
      <c r="J33" s="12" t="str">
        <f>IFERROR(VLOOKUP(H33,[1]사원명부!C$1:F$65536,4,0),"")</f>
        <v>연구원</v>
      </c>
      <c r="K33" s="12" t="str">
        <f>IFERROR(VLOOKUP(H33,[1]사원명부!C$1:G$65536,5,0),"")</f>
        <v>남자</v>
      </c>
      <c r="L33" s="4"/>
      <c r="M33" s="19">
        <v>30</v>
      </c>
      <c r="N33" s="19" t="s">
        <v>49</v>
      </c>
      <c r="O33" s="19" t="str">
        <f>IFERROR(VLOOKUP(N33,[1]사원명부!C$1:D$65536,2,0),"")</f>
        <v>AI개발실</v>
      </c>
      <c r="P33" s="19" t="str">
        <f>IFERROR(VLOOKUP(N33,[1]사원명부!C$1:F$65536,4,0),"")</f>
        <v>상무</v>
      </c>
      <c r="Q33" s="19" t="str">
        <f>IFERROR(VLOOKUP(N33,[1]사원명부!C$1:G$65536,5,0),"")</f>
        <v>남자</v>
      </c>
      <c r="R33" s="8"/>
      <c r="S33" s="7">
        <v>30</v>
      </c>
      <c r="T33" s="7" t="s">
        <v>48</v>
      </c>
      <c r="U33" s="7" t="str">
        <f>IFERROR(VLOOKUP(T33,[1]사원명부!C$1:D$65536,2,0),"")</f>
        <v>영업대표 - 전략사업</v>
      </c>
      <c r="V33" s="7" t="str">
        <f>IFERROR(VLOOKUP(T33,[1]사원명부!C$1:F$65536,4,0),"")</f>
        <v>전무</v>
      </c>
      <c r="W33" s="7" t="str">
        <f>IFERROR(VLOOKUP(T33,[1]사원명부!C$1:G$65536,5,0),"")</f>
        <v>남자</v>
      </c>
    </row>
    <row r="34" spans="1:23" ht="16.5" x14ac:dyDescent="0.3">
      <c r="A34" s="14">
        <v>31</v>
      </c>
      <c r="B34" s="14" t="s">
        <v>47</v>
      </c>
      <c r="C34" s="14" t="str">
        <f>IFERROR(VLOOKUP(B34,[1]사원명부!C$1:D$65536,2,0),"")</f>
        <v>플랫폼개발센터</v>
      </c>
      <c r="D34" s="14" t="str">
        <f>IFERROR(VLOOKUP(B34,[1]사원명부!C$1:F$65536,4,0),"")</f>
        <v>수석</v>
      </c>
      <c r="E34" s="14" t="str">
        <f>IFERROR(VLOOKUP(B34,[1]사원명부!C$1:G$65536,5,0),"")</f>
        <v>남자</v>
      </c>
      <c r="F34" s="4"/>
      <c r="G34" s="12">
        <v>31</v>
      </c>
      <c r="H34" s="12" t="s">
        <v>46</v>
      </c>
      <c r="I34" s="12" t="str">
        <f>IFERROR(VLOOKUP(H34,[1]사원명부!C$1:D$65536,2,0),"")</f>
        <v>사업수행팀</v>
      </c>
      <c r="J34" s="12" t="str">
        <f>IFERROR(VLOOKUP(H34,[1]사원명부!C$1:F$65536,4,0),"")</f>
        <v>연구원</v>
      </c>
      <c r="K34" s="12" t="str">
        <f>IFERROR(VLOOKUP(H34,[1]사원명부!C$1:G$65536,5,0),"")</f>
        <v>남자</v>
      </c>
      <c r="L34" s="4"/>
      <c r="M34" s="19">
        <v>31</v>
      </c>
      <c r="N34" s="19" t="s">
        <v>45</v>
      </c>
      <c r="O34" s="19" t="str">
        <f>IFERROR(VLOOKUP(N34,[1]사원명부!C$1:D$65536,2,0),"")</f>
        <v>AI개발실</v>
      </c>
      <c r="P34" s="19" t="str">
        <f>IFERROR(VLOOKUP(N34,[1]사원명부!C$1:F$65536,4,0),"")</f>
        <v>선임</v>
      </c>
      <c r="Q34" s="19" t="str">
        <f>IFERROR(VLOOKUP(N34,[1]사원명부!C$1:G$65536,5,0),"")</f>
        <v>여자</v>
      </c>
      <c r="R34" s="8"/>
      <c r="S34" s="7">
        <v>31</v>
      </c>
      <c r="T34" s="7" t="s">
        <v>44</v>
      </c>
      <c r="U34" s="7" t="str">
        <f>IFERROR(VLOOKUP(T34,[1]사원명부!C$1:D$65536,2,0),"")</f>
        <v>영업대표 - 전략사업</v>
      </c>
      <c r="V34" s="7" t="str">
        <f>IFERROR(VLOOKUP(T34,[1]사원명부!C$1:F$65536,4,0),"")</f>
        <v>연구원</v>
      </c>
      <c r="W34" s="7" t="str">
        <f>IFERROR(VLOOKUP(T34,[1]사원명부!C$1:G$65536,5,0),"")</f>
        <v>남자</v>
      </c>
    </row>
    <row r="35" spans="1:23" ht="16.5" x14ac:dyDescent="0.3">
      <c r="A35" s="14">
        <v>32</v>
      </c>
      <c r="B35" s="14" t="s">
        <v>43</v>
      </c>
      <c r="C35" s="14" t="str">
        <f>IFERROR(VLOOKUP(B35,[1]사원명부!C$1:D$65536,2,0),"")</f>
        <v>플랫폼개발센터</v>
      </c>
      <c r="D35" s="14" t="str">
        <f>IFERROR(VLOOKUP(B35,[1]사원명부!C$1:F$65536,4,0),"")</f>
        <v>책임</v>
      </c>
      <c r="E35" s="14" t="str">
        <f>IFERROR(VLOOKUP(B35,[1]사원명부!C$1:G$65536,5,0),"")</f>
        <v>남자</v>
      </c>
      <c r="F35" s="4"/>
      <c r="G35" s="12">
        <v>32</v>
      </c>
      <c r="H35" s="12"/>
      <c r="I35" s="12" t="str">
        <f>IFERROR(VLOOKUP(H35,[1]사원명부!C$1:D$65536,2,0),"")</f>
        <v/>
      </c>
      <c r="J35" s="12" t="str">
        <f>IFERROR(VLOOKUP(H35,[1]사원명부!C$1:F$65536,4,0),"")</f>
        <v/>
      </c>
      <c r="K35" s="12" t="str">
        <f>IFERROR(VLOOKUP(H35,[1]사원명부!C$1:G$65536,5,0),"")</f>
        <v/>
      </c>
      <c r="L35" s="4"/>
      <c r="M35" s="19">
        <v>32</v>
      </c>
      <c r="N35" s="19" t="s">
        <v>42</v>
      </c>
      <c r="O35" s="19" t="str">
        <f>IFERROR(VLOOKUP(N35,[1]사원명부!C$1:D$65536,2,0),"")</f>
        <v>AI개발실</v>
      </c>
      <c r="P35" s="19" t="str">
        <f>IFERROR(VLOOKUP(N35,[1]사원명부!C$1:F$65536,4,0),"")</f>
        <v>전임</v>
      </c>
      <c r="Q35" s="19" t="str">
        <f>IFERROR(VLOOKUP(N35,[1]사원명부!C$1:G$65536,5,0),"")</f>
        <v>남자</v>
      </c>
      <c r="R35" s="8"/>
      <c r="S35" s="7">
        <v>32</v>
      </c>
      <c r="T35" s="7" t="s">
        <v>41</v>
      </c>
      <c r="U35" s="7" t="str">
        <f>IFERROR(VLOOKUP(T35,[1]사원명부!C$1:D$65536,2,0),"")</f>
        <v>영업대표 - 공공부문</v>
      </c>
      <c r="V35" s="7" t="str">
        <f>IFERROR(VLOOKUP(T35,[1]사원명부!C$1:F$65536,4,0),"")</f>
        <v>상무</v>
      </c>
      <c r="W35" s="7" t="str">
        <f>IFERROR(VLOOKUP(T35,[1]사원명부!C$1:G$65536,5,0),"")</f>
        <v>남자</v>
      </c>
    </row>
    <row r="36" spans="1:23" ht="16.5" x14ac:dyDescent="0.3">
      <c r="A36" s="14">
        <v>33</v>
      </c>
      <c r="B36" s="14" t="s">
        <v>40</v>
      </c>
      <c r="C36" s="14" t="str">
        <f>IFERROR(VLOOKUP(B36,[1]사원명부!C$1:D$65536,2,0),"")</f>
        <v>플랫폼개발센터</v>
      </c>
      <c r="D36" s="14" t="str">
        <f>IFERROR(VLOOKUP(B36,[1]사원명부!C$1:F$65536,4,0),"")</f>
        <v>책임</v>
      </c>
      <c r="E36" s="14" t="str">
        <f>IFERROR(VLOOKUP(B36,[1]사원명부!C$1:G$65536,5,0),"")</f>
        <v>남자</v>
      </c>
      <c r="F36" s="4"/>
      <c r="G36" s="12">
        <v>33</v>
      </c>
      <c r="H36" s="12"/>
      <c r="I36" s="12" t="str">
        <f>IFERROR(VLOOKUP(H36,[1]사원명부!C$1:D$65536,2,0),"")</f>
        <v/>
      </c>
      <c r="J36" s="12" t="str">
        <f>IFERROR(VLOOKUP(H36,[1]사원명부!C$1:F$65536,4,0),"")</f>
        <v/>
      </c>
      <c r="K36" s="12" t="str">
        <f>IFERROR(VLOOKUP(H36,[1]사원명부!C$1:G$65536,5,0),"")</f>
        <v/>
      </c>
      <c r="L36" s="4"/>
      <c r="M36" s="19">
        <v>33</v>
      </c>
      <c r="N36" s="19" t="s">
        <v>39</v>
      </c>
      <c r="O36" s="19" t="str">
        <f>IFERROR(VLOOKUP(N36,[1]사원명부!C$1:D$65536,2,0),"")</f>
        <v>AI개발실</v>
      </c>
      <c r="P36" s="19" t="str">
        <f>IFERROR(VLOOKUP(N36,[1]사원명부!C$1:F$65536,4,0),"")</f>
        <v>전임</v>
      </c>
      <c r="Q36" s="19" t="str">
        <f>IFERROR(VLOOKUP(N36,[1]사원명부!C$1:G$65536,5,0),"")</f>
        <v>여자</v>
      </c>
      <c r="R36" s="8"/>
      <c r="S36" s="7">
        <v>33</v>
      </c>
      <c r="T36" s="7" t="s">
        <v>38</v>
      </c>
      <c r="U36" s="7" t="str">
        <f>IFERROR(VLOOKUP(T36,[1]사원명부!C$1:D$65536,2,0),"")</f>
        <v>영업대표 - 공공부문</v>
      </c>
      <c r="V36" s="7" t="str">
        <f>IFERROR(VLOOKUP(T36,[1]사원명부!C$1:F$65536,4,0),"")</f>
        <v>수석</v>
      </c>
      <c r="W36" s="7" t="str">
        <f>IFERROR(VLOOKUP(T36,[1]사원명부!C$1:G$65536,5,0),"")</f>
        <v>남자</v>
      </c>
    </row>
    <row r="37" spans="1:23" ht="16.5" x14ac:dyDescent="0.3">
      <c r="A37" s="14">
        <v>34</v>
      </c>
      <c r="B37" s="14" t="s">
        <v>37</v>
      </c>
      <c r="C37" s="14" t="str">
        <f>IFERROR(VLOOKUP(B37,[1]사원명부!C$1:D$65536,2,0),"")</f>
        <v>플랫폼개발센터</v>
      </c>
      <c r="D37" s="14" t="str">
        <f>IFERROR(VLOOKUP(B37,[1]사원명부!C$1:F$65536,4,0),"")</f>
        <v>책임</v>
      </c>
      <c r="E37" s="14" t="str">
        <f>IFERROR(VLOOKUP(B37,[1]사원명부!C$1:G$65536,5,0),"")</f>
        <v>남자</v>
      </c>
      <c r="F37" s="4"/>
      <c r="G37" s="12">
        <v>34</v>
      </c>
      <c r="H37" s="12"/>
      <c r="I37" s="12" t="str">
        <f>IFERROR(VLOOKUP(H37,[1]사원명부!C$1:D$65536,2,0),"")</f>
        <v/>
      </c>
      <c r="J37" s="12" t="str">
        <f>IFERROR(VLOOKUP(H37,[1]사원명부!C$1:F$65536,4,0),"")</f>
        <v/>
      </c>
      <c r="K37" s="12" t="str">
        <f>IFERROR(VLOOKUP(H37,[1]사원명부!C$1:G$65536,5,0),"")</f>
        <v/>
      </c>
      <c r="L37" s="4"/>
      <c r="M37" s="19">
        <v>34</v>
      </c>
      <c r="N37" s="19" t="s">
        <v>36</v>
      </c>
      <c r="O37" s="19" t="str">
        <f>IFERROR(VLOOKUP(N37,[1]사원명부!C$1:D$65536,2,0),"")</f>
        <v>AI개발실</v>
      </c>
      <c r="P37" s="19" t="str">
        <f>IFERROR(VLOOKUP(N37,[1]사원명부!C$1:F$65536,4,0),"")</f>
        <v>전임</v>
      </c>
      <c r="Q37" s="19" t="str">
        <f>IFERROR(VLOOKUP(N37,[1]사원명부!C$1:G$65536,5,0),"")</f>
        <v>여자</v>
      </c>
      <c r="R37" s="8"/>
      <c r="S37" s="7">
        <v>34</v>
      </c>
      <c r="T37" s="7" t="s">
        <v>35</v>
      </c>
      <c r="U37" s="7" t="str">
        <f>IFERROR(VLOOKUP(T37,[1]사원명부!C$1:D$65536,2,0),"")</f>
        <v>영업대표 - 공공부문</v>
      </c>
      <c r="V37" s="7" t="str">
        <f>IFERROR(VLOOKUP(T37,[1]사원명부!C$1:F$65536,4,0),"")</f>
        <v>전임</v>
      </c>
      <c r="W37" s="7" t="str">
        <f>IFERROR(VLOOKUP(T37,[1]사원명부!C$1:G$65536,5,0),"")</f>
        <v>남자</v>
      </c>
    </row>
    <row r="38" spans="1:23" ht="16.5" x14ac:dyDescent="0.3">
      <c r="A38" s="14">
        <v>35</v>
      </c>
      <c r="B38" s="14" t="s">
        <v>34</v>
      </c>
      <c r="C38" s="14" t="str">
        <f>IFERROR(VLOOKUP(B38,[1]사원명부!C$1:D$65536,2,0),"")</f>
        <v>플랫폼개발센터</v>
      </c>
      <c r="D38" s="14" t="str">
        <f>IFERROR(VLOOKUP(B38,[1]사원명부!C$1:F$65536,4,0),"")</f>
        <v>전임</v>
      </c>
      <c r="E38" s="14" t="str">
        <f>IFERROR(VLOOKUP(B38,[1]사원명부!C$1:G$65536,5,0),"")</f>
        <v>남자</v>
      </c>
      <c r="F38" s="4"/>
      <c r="G38" s="12">
        <v>35</v>
      </c>
      <c r="H38" s="12"/>
      <c r="I38" s="12" t="str">
        <f>IFERROR(VLOOKUP(H38,[1]사원명부!C$1:D$65536,2,0),"")</f>
        <v/>
      </c>
      <c r="J38" s="12" t="str">
        <f>IFERROR(VLOOKUP(H38,[1]사원명부!C$1:F$65536,4,0),"")</f>
        <v/>
      </c>
      <c r="K38" s="12" t="str">
        <f>IFERROR(VLOOKUP(H38,[1]사원명부!C$1:G$65536,5,0),"")</f>
        <v/>
      </c>
      <c r="L38" s="4"/>
      <c r="M38" s="19">
        <v>35</v>
      </c>
      <c r="N38" s="19" t="s">
        <v>33</v>
      </c>
      <c r="O38" s="19" t="str">
        <f>IFERROR(VLOOKUP(N38,[1]사원명부!C$1:D$65536,2,0),"")</f>
        <v>AI개발실</v>
      </c>
      <c r="P38" s="19" t="str">
        <f>IFERROR(VLOOKUP(N38,[1]사원명부!C$1:F$65536,4,0),"")</f>
        <v>연구원</v>
      </c>
      <c r="Q38" s="19" t="str">
        <f>IFERROR(VLOOKUP(N38,[1]사원명부!C$1:G$65536,5,0),"")</f>
        <v>남자</v>
      </c>
      <c r="R38" s="8"/>
      <c r="S38" s="7">
        <v>35</v>
      </c>
      <c r="T38" s="7" t="s">
        <v>32</v>
      </c>
      <c r="U38" s="7" t="str">
        <f>IFERROR(VLOOKUP(T38,[1]사원명부!C$1:D$65536,2,0),"")</f>
        <v>에너지사업부</v>
      </c>
      <c r="V38" s="7" t="str">
        <f>IFERROR(VLOOKUP(T38,[1]사원명부!C$1:F$65536,4,0),"")</f>
        <v>상무</v>
      </c>
      <c r="W38" s="7" t="str">
        <f>IFERROR(VLOOKUP(T38,[1]사원명부!C$1:G$65536,5,0),"")</f>
        <v>남자</v>
      </c>
    </row>
    <row r="39" spans="1:23" ht="16.5" x14ac:dyDescent="0.3">
      <c r="A39" s="14">
        <v>36</v>
      </c>
      <c r="B39" s="14" t="s">
        <v>31</v>
      </c>
      <c r="C39" s="14" t="str">
        <f>IFERROR(VLOOKUP(B39,[1]사원명부!C$1:D$65536,2,0),"")</f>
        <v>플랫폼개발센터</v>
      </c>
      <c r="D39" s="14" t="str">
        <f>IFERROR(VLOOKUP(B39,[1]사원명부!C$1:F$65536,4,0),"")</f>
        <v>전임</v>
      </c>
      <c r="E39" s="14" t="str">
        <f>IFERROR(VLOOKUP(B39,[1]사원명부!C$1:G$65536,5,0),"")</f>
        <v>남자</v>
      </c>
      <c r="F39" s="4"/>
      <c r="G39" s="12">
        <v>36</v>
      </c>
      <c r="H39" s="12"/>
      <c r="I39" s="12" t="str">
        <f>IFERROR(VLOOKUP(H39,[1]사원명부!C$1:D$65536,2,0),"")</f>
        <v/>
      </c>
      <c r="J39" s="12" t="str">
        <f>IFERROR(VLOOKUP(H39,[1]사원명부!C$1:F$65536,4,0),"")</f>
        <v/>
      </c>
      <c r="K39" s="12" t="str">
        <f>IFERROR(VLOOKUP(H39,[1]사원명부!C$1:G$65536,5,0),"")</f>
        <v/>
      </c>
      <c r="L39" s="4"/>
      <c r="M39" s="19">
        <v>36</v>
      </c>
      <c r="N39" s="19" t="s">
        <v>30</v>
      </c>
      <c r="O39" s="19" t="str">
        <f>IFERROR(VLOOKUP(N39,[1]사원명부!C$1:D$65536,2,0),"")</f>
        <v>항행관제사업부</v>
      </c>
      <c r="P39" s="19" t="str">
        <f>IFERROR(VLOOKUP(N39,[1]사원명부!C$1:F$65536,4,0),"")</f>
        <v>이사</v>
      </c>
      <c r="Q39" s="19" t="str">
        <f>IFERROR(VLOOKUP(N39,[1]사원명부!C$1:G$65536,5,0),"")</f>
        <v>남자</v>
      </c>
      <c r="R39" s="8"/>
      <c r="S39" s="7">
        <v>36</v>
      </c>
      <c r="T39" s="7" t="s">
        <v>29</v>
      </c>
      <c r="U39" s="7" t="str">
        <f>IFERROR(VLOOKUP(T39,[1]사원명부!C$1:D$65536,2,0),"")</f>
        <v>에너지사업부</v>
      </c>
      <c r="V39" s="7" t="str">
        <f>IFERROR(VLOOKUP(T39,[1]사원명부!C$1:F$65536,4,0),"")</f>
        <v>수석</v>
      </c>
      <c r="W39" s="7" t="str">
        <f>IFERROR(VLOOKUP(T39,[1]사원명부!C$1:G$65536,5,0),"")</f>
        <v>남자</v>
      </c>
    </row>
    <row r="40" spans="1:23" ht="16.5" x14ac:dyDescent="0.3">
      <c r="A40" s="14">
        <v>37</v>
      </c>
      <c r="B40" s="14" t="s">
        <v>28</v>
      </c>
      <c r="C40" s="14" t="str">
        <f>IFERROR(VLOOKUP(B40,[1]사원명부!C$1:D$65536,2,0),"")</f>
        <v>플랫폼개발센터</v>
      </c>
      <c r="D40" s="14" t="str">
        <f>IFERROR(VLOOKUP(B40,[1]사원명부!C$1:F$65536,4,0),"")</f>
        <v>연구원</v>
      </c>
      <c r="E40" s="14" t="str">
        <f>IFERROR(VLOOKUP(B40,[1]사원명부!C$1:G$65536,5,0),"")</f>
        <v>여자</v>
      </c>
      <c r="F40" s="4"/>
      <c r="G40" s="12">
        <v>37</v>
      </c>
      <c r="H40" s="12"/>
      <c r="I40" s="12" t="str">
        <f>IFERROR(VLOOKUP(H40,[1]사원명부!C$1:D$65536,2,0),"")</f>
        <v/>
      </c>
      <c r="J40" s="12" t="str">
        <f>IFERROR(VLOOKUP(H40,[1]사원명부!C$1:F$65536,4,0),"")</f>
        <v/>
      </c>
      <c r="K40" s="12" t="str">
        <f>IFERROR(VLOOKUP(H40,[1]사원명부!C$1:G$65536,5,0),"")</f>
        <v/>
      </c>
      <c r="L40" s="4"/>
      <c r="M40" s="19">
        <v>37</v>
      </c>
      <c r="N40" s="19" t="s">
        <v>27</v>
      </c>
      <c r="O40" s="19" t="str">
        <f>IFERROR(VLOOKUP(N40,[1]사원명부!C$1:D$65536,2,0),"")</f>
        <v>항행관제사업부</v>
      </c>
      <c r="P40" s="19" t="str">
        <f>IFERROR(VLOOKUP(N40,[1]사원명부!C$1:F$65536,4,0),"")</f>
        <v>이사</v>
      </c>
      <c r="Q40" s="19" t="str">
        <f>IFERROR(VLOOKUP(N40,[1]사원명부!C$1:G$65536,5,0),"")</f>
        <v>남자</v>
      </c>
      <c r="R40" s="8"/>
      <c r="S40" s="7">
        <v>37</v>
      </c>
      <c r="T40" s="7" t="s">
        <v>26</v>
      </c>
      <c r="U40" s="7" t="str">
        <f>IFERROR(VLOOKUP(T40,[1]사원명부!C$1:D$65536,2,0),"")</f>
        <v>에너지사업부</v>
      </c>
      <c r="V40" s="7" t="str">
        <f>IFERROR(VLOOKUP(T40,[1]사원명부!C$1:F$65536,4,0),"")</f>
        <v>책임</v>
      </c>
      <c r="W40" s="7" t="str">
        <f>IFERROR(VLOOKUP(T40,[1]사원명부!C$1:G$65536,5,0),"")</f>
        <v>남자</v>
      </c>
    </row>
    <row r="41" spans="1:23" ht="16.5" x14ac:dyDescent="0.3">
      <c r="A41" s="14">
        <v>38</v>
      </c>
      <c r="B41" s="14" t="s">
        <v>25</v>
      </c>
      <c r="C41" s="14" t="str">
        <f>IFERROR(VLOOKUP(B41,[1]사원명부!C$1:D$65536,2,0),"")</f>
        <v>플랫폼개발센터</v>
      </c>
      <c r="D41" s="14" t="str">
        <f>IFERROR(VLOOKUP(B41,[1]사원명부!C$1:F$65536,4,0),"")</f>
        <v>연구원</v>
      </c>
      <c r="E41" s="14" t="str">
        <f>IFERROR(VLOOKUP(B41,[1]사원명부!C$1:G$65536,5,0),"")</f>
        <v>여자</v>
      </c>
      <c r="F41" s="4"/>
      <c r="G41" s="12">
        <v>38</v>
      </c>
      <c r="H41" s="12"/>
      <c r="I41" s="12" t="str">
        <f>IFERROR(VLOOKUP(H41,[1]사원명부!C$1:D$65536,2,0),"")</f>
        <v/>
      </c>
      <c r="J41" s="12" t="str">
        <f>IFERROR(VLOOKUP(H41,[1]사원명부!C$1:F$65536,4,0),"")</f>
        <v/>
      </c>
      <c r="K41" s="12" t="str">
        <f>IFERROR(VLOOKUP(H41,[1]사원명부!C$1:G$65536,5,0),"")</f>
        <v/>
      </c>
      <c r="L41" s="4"/>
      <c r="M41" s="19">
        <v>38</v>
      </c>
      <c r="N41" s="19" t="s">
        <v>24</v>
      </c>
      <c r="O41" s="19" t="str">
        <f>IFERROR(VLOOKUP(N41,[1]사원명부!C$1:D$65536,2,0),"")</f>
        <v>항행관제사업1팀</v>
      </c>
      <c r="P41" s="19" t="str">
        <f>IFERROR(VLOOKUP(N41,[1]사원명부!C$1:F$65536,4,0),"")</f>
        <v>책임</v>
      </c>
      <c r="Q41" s="19" t="str">
        <f>IFERROR(VLOOKUP(N41,[1]사원명부!C$1:G$65536,5,0),"")</f>
        <v>남자</v>
      </c>
      <c r="R41" s="8"/>
      <c r="S41" s="7">
        <v>38</v>
      </c>
      <c r="T41" s="7" t="s">
        <v>23</v>
      </c>
      <c r="U41" s="7" t="str">
        <f>IFERROR(VLOOKUP(T41,[1]사원명부!C$1:D$65536,2,0),"")</f>
        <v>에너지사업부</v>
      </c>
      <c r="V41" s="7" t="str">
        <f>IFERROR(VLOOKUP(T41,[1]사원명부!C$1:F$65536,4,0),"")</f>
        <v>전임</v>
      </c>
      <c r="W41" s="7" t="str">
        <f>IFERROR(VLOOKUP(T41,[1]사원명부!C$1:G$65536,5,0),"")</f>
        <v>남자</v>
      </c>
    </row>
    <row r="42" spans="1:23" ht="16.5" x14ac:dyDescent="0.3">
      <c r="A42" s="14">
        <v>39</v>
      </c>
      <c r="B42" s="14" t="s">
        <v>22</v>
      </c>
      <c r="C42" s="14" t="str">
        <f>IFERROR(VLOOKUP(B42,[1]사원명부!C$1:D$65536,2,0),"")</f>
        <v>모빌리티개발팀</v>
      </c>
      <c r="D42" s="14" t="str">
        <f>IFERROR(VLOOKUP(B42,[1]사원명부!C$1:F$65536,4,0),"")</f>
        <v>상무</v>
      </c>
      <c r="E42" s="14" t="str">
        <f>IFERROR(VLOOKUP(B42,[1]사원명부!C$1:G$65536,5,0),"")</f>
        <v>남자</v>
      </c>
      <c r="F42" s="4"/>
      <c r="G42" s="12">
        <v>39</v>
      </c>
      <c r="H42" s="12"/>
      <c r="I42" s="12" t="str">
        <f>IFERROR(VLOOKUP(H42,[1]사원명부!C$1:D$65536,2,0),"")</f>
        <v/>
      </c>
      <c r="J42" s="12" t="str">
        <f>IFERROR(VLOOKUP(H42,[1]사원명부!C$1:F$65536,4,0),"")</f>
        <v/>
      </c>
      <c r="K42" s="12" t="str">
        <f>IFERROR(VLOOKUP(H42,[1]사원명부!C$1:G$65536,5,0),"")</f>
        <v/>
      </c>
      <c r="L42" s="4"/>
      <c r="M42" s="19">
        <v>39</v>
      </c>
      <c r="N42" s="19" t="s">
        <v>21</v>
      </c>
      <c r="O42" s="19" t="str">
        <f>IFERROR(VLOOKUP(N42,[1]사원명부!C$1:D$65536,2,0),"")</f>
        <v>항행관제사업1팀</v>
      </c>
      <c r="P42" s="19" t="str">
        <f>IFERROR(VLOOKUP(N42,[1]사원명부!C$1:F$65536,4,0),"")</f>
        <v>선임</v>
      </c>
      <c r="Q42" s="19" t="str">
        <f>IFERROR(VLOOKUP(N42,[1]사원명부!C$1:G$65536,5,0),"")</f>
        <v>남자</v>
      </c>
      <c r="R42" s="8"/>
      <c r="S42" s="7">
        <v>39</v>
      </c>
      <c r="T42" s="7" t="s">
        <v>20</v>
      </c>
      <c r="U42" s="7" t="str">
        <f>IFERROR(VLOOKUP(T42,[1]사원명부!C$1:D$65536,2,0),"")</f>
        <v>에너지사업부</v>
      </c>
      <c r="V42" s="7" t="str">
        <f>IFERROR(VLOOKUP(T42,[1]사원명부!C$1:F$65536,4,0),"")</f>
        <v>이사</v>
      </c>
      <c r="W42" s="7" t="str">
        <f>IFERROR(VLOOKUP(T42,[1]사원명부!C$1:G$65536,5,0),"")</f>
        <v>남자</v>
      </c>
    </row>
    <row r="43" spans="1:23" ht="16.5" x14ac:dyDescent="0.3">
      <c r="A43" s="14">
        <v>40</v>
      </c>
      <c r="B43" s="14" t="s">
        <v>19</v>
      </c>
      <c r="C43" s="14" t="str">
        <f>IFERROR(VLOOKUP(B43,[1]사원명부!C$1:D$65536,2,0),"")</f>
        <v>모빌리티개발팀</v>
      </c>
      <c r="D43" s="14" t="str">
        <f>IFERROR(VLOOKUP(B43,[1]사원명부!C$1:F$65536,4,0),"")</f>
        <v>수석</v>
      </c>
      <c r="E43" s="14" t="str">
        <f>IFERROR(VLOOKUP(B43,[1]사원명부!C$1:G$65536,5,0),"")</f>
        <v>남자</v>
      </c>
      <c r="F43" s="4"/>
      <c r="G43" s="12">
        <v>40</v>
      </c>
      <c r="H43" s="12"/>
      <c r="I43" s="12" t="str">
        <f>IFERROR(VLOOKUP(H43,[1]사원명부!C$1:D$65536,2,0),"")</f>
        <v/>
      </c>
      <c r="J43" s="12" t="str">
        <f>IFERROR(VLOOKUP(H43,[1]사원명부!C$1:F$65536,4,0),"")</f>
        <v/>
      </c>
      <c r="K43" s="12" t="str">
        <f>IFERROR(VLOOKUP(H43,[1]사원명부!C$1:G$65536,5,0),"")</f>
        <v/>
      </c>
      <c r="L43" s="4"/>
      <c r="M43" s="19">
        <v>40</v>
      </c>
      <c r="N43" s="19" t="s">
        <v>18</v>
      </c>
      <c r="O43" s="19" t="str">
        <f>IFERROR(VLOOKUP(N43,[1]사원명부!C$1:D$65536,2,0),"")</f>
        <v>항행관제사업1팀</v>
      </c>
      <c r="P43" s="19" t="str">
        <f>IFERROR(VLOOKUP(N43,[1]사원명부!C$1:F$65536,4,0),"")</f>
        <v>선임</v>
      </c>
      <c r="Q43" s="19" t="str">
        <f>IFERROR(VLOOKUP(N43,[1]사원명부!C$1:G$65536,5,0),"")</f>
        <v>남자</v>
      </c>
      <c r="R43" s="8"/>
      <c r="S43" s="7">
        <v>40</v>
      </c>
      <c r="T43" s="7" t="s">
        <v>17</v>
      </c>
      <c r="U43" s="7" t="str">
        <f>IFERROR(VLOOKUP(T43,[1]사원명부!C$1:D$65536,2,0),"")</f>
        <v>전략기획실</v>
      </c>
      <c r="V43" s="7" t="str">
        <f>IFERROR(VLOOKUP(T43,[1]사원명부!C$1:F$65536,4,0),"")</f>
        <v>수석</v>
      </c>
      <c r="W43" s="7" t="str">
        <f>IFERROR(VLOOKUP(T43,[1]사원명부!C$1:G$65536,5,0),"")</f>
        <v>남자</v>
      </c>
    </row>
    <row r="44" spans="1:23" ht="16.5" x14ac:dyDescent="0.3">
      <c r="A44" s="14">
        <v>41</v>
      </c>
      <c r="B44" s="14" t="s">
        <v>16</v>
      </c>
      <c r="C44" s="14" t="str">
        <f>IFERROR(VLOOKUP(B44,[1]사원명부!C$1:D$65536,2,0),"")</f>
        <v>모빌리티개발팀</v>
      </c>
      <c r="D44" s="14" t="str">
        <f>IFERROR(VLOOKUP(B44,[1]사원명부!C$1:F$65536,4,0),"")</f>
        <v>수석</v>
      </c>
      <c r="E44" s="14" t="str">
        <f>IFERROR(VLOOKUP(B44,[1]사원명부!C$1:G$65536,5,0),"")</f>
        <v>남자</v>
      </c>
      <c r="F44" s="4"/>
      <c r="G44" s="12">
        <v>41</v>
      </c>
      <c r="H44" s="12"/>
      <c r="I44" s="12" t="str">
        <f>IFERROR(VLOOKUP(H44,[1]사원명부!C$1:D$65536,2,0),"")</f>
        <v/>
      </c>
      <c r="J44" s="12" t="str">
        <f>IFERROR(VLOOKUP(H44,[1]사원명부!C$1:F$65536,4,0),"")</f>
        <v/>
      </c>
      <c r="K44" s="12" t="str">
        <f>IFERROR(VLOOKUP(H44,[1]사원명부!C$1:G$65536,5,0),"")</f>
        <v/>
      </c>
      <c r="L44" s="4"/>
      <c r="M44" s="19">
        <v>41</v>
      </c>
      <c r="N44" s="19" t="s">
        <v>15</v>
      </c>
      <c r="O44" s="19" t="str">
        <f>IFERROR(VLOOKUP(N44,[1]사원명부!C$1:D$65536,2,0),"")</f>
        <v>항행관제사업1팀</v>
      </c>
      <c r="P44" s="19" t="str">
        <f>IFERROR(VLOOKUP(N44,[1]사원명부!C$1:F$65536,4,0),"")</f>
        <v>연구원</v>
      </c>
      <c r="Q44" s="19" t="str">
        <f>IFERROR(VLOOKUP(N44,[1]사원명부!C$1:G$65536,5,0),"")</f>
        <v>여자</v>
      </c>
      <c r="R44" s="8"/>
      <c r="S44" s="7">
        <v>41</v>
      </c>
      <c r="T44" s="7" t="s">
        <v>14</v>
      </c>
      <c r="U44" s="7" t="str">
        <f>IFERROR(VLOOKUP(T44,[1]사원명부!C$1:D$65536,2,0),"")</f>
        <v>전략기획실</v>
      </c>
      <c r="V44" s="7" t="str">
        <f>IFERROR(VLOOKUP(T44,[1]사원명부!C$1:F$65536,4,0),"")</f>
        <v>책임</v>
      </c>
      <c r="W44" s="7" t="str">
        <f>IFERROR(VLOOKUP(T44,[1]사원명부!C$1:G$65536,5,0),"")</f>
        <v>여자</v>
      </c>
    </row>
    <row r="45" spans="1:23" ht="16.5" x14ac:dyDescent="0.3">
      <c r="A45" s="14">
        <v>42</v>
      </c>
      <c r="B45" s="14" t="s">
        <v>13</v>
      </c>
      <c r="C45" s="14" t="str">
        <f>IFERROR(VLOOKUP(B45,[1]사원명부!C$1:D$65536,2,0),"")</f>
        <v>모빌리티개발팀</v>
      </c>
      <c r="D45" s="14" t="str">
        <f>IFERROR(VLOOKUP(B45,[1]사원명부!C$1:F$65536,4,0),"")</f>
        <v>책임</v>
      </c>
      <c r="E45" s="14" t="str">
        <f>IFERROR(VLOOKUP(B45,[1]사원명부!C$1:G$65536,5,0),"")</f>
        <v>남자</v>
      </c>
      <c r="F45" s="4"/>
      <c r="G45" s="12">
        <v>42</v>
      </c>
      <c r="H45" s="12"/>
      <c r="I45" s="12" t="str">
        <f>IFERROR(VLOOKUP(H45,[1]사원명부!C$1:D$65536,2,0),"")</f>
        <v/>
      </c>
      <c r="J45" s="12" t="str">
        <f>IFERROR(VLOOKUP(H45,[1]사원명부!C$1:F$65536,4,0),"")</f>
        <v/>
      </c>
      <c r="K45" s="12" t="str">
        <f>IFERROR(VLOOKUP(H45,[1]사원명부!C$1:G$65536,5,0),"")</f>
        <v/>
      </c>
      <c r="L45" s="4"/>
      <c r="M45" s="19">
        <v>42</v>
      </c>
      <c r="N45" s="19" t="s">
        <v>12</v>
      </c>
      <c r="O45" s="19" t="str">
        <f>IFERROR(VLOOKUP(N45,[1]사원명부!C$1:D$65536,2,0),"")</f>
        <v>항행관제사업2팀</v>
      </c>
      <c r="P45" s="19" t="str">
        <f>IFERROR(VLOOKUP(N45,[1]사원명부!C$1:F$65536,4,0),"")</f>
        <v>수석</v>
      </c>
      <c r="Q45" s="19" t="str">
        <f>IFERROR(VLOOKUP(N45,[1]사원명부!C$1:G$65536,5,0),"")</f>
        <v>남자</v>
      </c>
      <c r="R45" s="8"/>
      <c r="S45" s="7">
        <v>42</v>
      </c>
      <c r="T45" s="7" t="s">
        <v>11</v>
      </c>
      <c r="U45" s="7" t="str">
        <f>IFERROR(VLOOKUP(T45,[1]사원명부!C$1:D$65536,2,0),"")</f>
        <v>전략기획실</v>
      </c>
      <c r="V45" s="7" t="str">
        <f>IFERROR(VLOOKUP(T45,[1]사원명부!C$1:F$65536,4,0),"")</f>
        <v>선임</v>
      </c>
      <c r="W45" s="7" t="str">
        <f>IFERROR(VLOOKUP(T45,[1]사원명부!C$1:G$65536,5,0),"")</f>
        <v>여자</v>
      </c>
    </row>
    <row r="46" spans="1:23" ht="16.5" x14ac:dyDescent="0.3">
      <c r="A46" s="14">
        <v>43</v>
      </c>
      <c r="B46" s="14" t="s">
        <v>10</v>
      </c>
      <c r="C46" s="14" t="str">
        <f>IFERROR(VLOOKUP(B46,[1]사원명부!C$1:D$65536,2,0),"")</f>
        <v>모빌리티개발팀</v>
      </c>
      <c r="D46" s="14" t="str">
        <f>IFERROR(VLOOKUP(B46,[1]사원명부!C$1:F$65536,4,0),"")</f>
        <v>전임</v>
      </c>
      <c r="E46" s="14" t="str">
        <f>IFERROR(VLOOKUP(B46,[1]사원명부!C$1:G$65536,5,0),"")</f>
        <v>남자</v>
      </c>
      <c r="F46" s="4"/>
      <c r="G46" s="12">
        <v>43</v>
      </c>
      <c r="H46" s="12"/>
      <c r="I46" s="12" t="str">
        <f>IFERROR(VLOOKUP(H46,[1]사원명부!C$1:D$65536,2,0),"")</f>
        <v/>
      </c>
      <c r="J46" s="12" t="str">
        <f>IFERROR(VLOOKUP(H46,[1]사원명부!C$1:F$65536,4,0),"")</f>
        <v/>
      </c>
      <c r="K46" s="12" t="str">
        <f>IFERROR(VLOOKUP(H46,[1]사원명부!C$1:G$65536,5,0),"")</f>
        <v/>
      </c>
      <c r="L46" s="4"/>
      <c r="M46" s="19">
        <v>43</v>
      </c>
      <c r="N46" s="19" t="s">
        <v>9</v>
      </c>
      <c r="O46" s="19" t="str">
        <f>IFERROR(VLOOKUP(N46,[1]사원명부!C$1:D$65536,2,0),"")</f>
        <v>항행관제사업2팀</v>
      </c>
      <c r="P46" s="19" t="str">
        <f>IFERROR(VLOOKUP(N46,[1]사원명부!C$1:F$65536,4,0),"")</f>
        <v>선임</v>
      </c>
      <c r="Q46" s="19" t="str">
        <f>IFERROR(VLOOKUP(N46,[1]사원명부!C$1:G$65536,5,0),"")</f>
        <v>남자</v>
      </c>
      <c r="R46" s="8"/>
      <c r="S46" s="7">
        <v>43</v>
      </c>
      <c r="T46" s="7" t="s">
        <v>8</v>
      </c>
      <c r="U46" s="7" t="str">
        <f>IFERROR(VLOOKUP(T46,[1]사원명부!C$1:D$65536,2,0),"")</f>
        <v>전략기획실</v>
      </c>
      <c r="V46" s="7" t="str">
        <f>IFERROR(VLOOKUP(T46,[1]사원명부!C$1:F$65536,4,0),"")</f>
        <v>전임</v>
      </c>
      <c r="W46" s="7" t="str">
        <f>IFERROR(VLOOKUP(T46,[1]사원명부!C$1:G$65536,5,0),"")</f>
        <v>여자</v>
      </c>
    </row>
    <row r="47" spans="1:23" ht="16.5" x14ac:dyDescent="0.3">
      <c r="A47" s="14">
        <v>44</v>
      </c>
      <c r="B47" s="14" t="s">
        <v>7</v>
      </c>
      <c r="C47" s="14" t="str">
        <f>IFERROR(VLOOKUP(B47,[1]사원명부!C$1:D$65536,2,0),"")</f>
        <v>모빌리티개발팀</v>
      </c>
      <c r="D47" s="14" t="str">
        <f>IFERROR(VLOOKUP(B47,[1]사원명부!C$1:F$65536,4,0),"")</f>
        <v>연구원</v>
      </c>
      <c r="E47" s="14" t="str">
        <f>IFERROR(VLOOKUP(B47,[1]사원명부!C$1:G$65536,5,0),"")</f>
        <v>남자</v>
      </c>
      <c r="F47" s="4"/>
      <c r="G47" s="12">
        <v>44</v>
      </c>
      <c r="H47" s="12"/>
      <c r="I47" s="12" t="str">
        <f>IFERROR(VLOOKUP(H47,[1]사원명부!C$1:D$65536,2,0),"")</f>
        <v/>
      </c>
      <c r="J47" s="12" t="str">
        <f>IFERROR(VLOOKUP(H47,[1]사원명부!C$1:F$65536,4,0),"")</f>
        <v/>
      </c>
      <c r="K47" s="12" t="str">
        <f>IFERROR(VLOOKUP(H47,[1]사원명부!C$1:G$65536,5,0),"")</f>
        <v/>
      </c>
      <c r="L47" s="4"/>
      <c r="M47" s="19">
        <v>44</v>
      </c>
      <c r="N47" s="19" t="s">
        <v>6</v>
      </c>
      <c r="O47" s="19" t="str">
        <f>IFERROR(VLOOKUP(N47,[1]사원명부!C$1:D$65536,2,0),"")</f>
        <v>항행관제사업2팀</v>
      </c>
      <c r="P47" s="19" t="str">
        <f>IFERROR(VLOOKUP(N47,[1]사원명부!C$1:F$65536,4,0),"")</f>
        <v>연구원</v>
      </c>
      <c r="Q47" s="19" t="str">
        <f>IFERROR(VLOOKUP(N47,[1]사원명부!C$1:G$65536,5,0),"")</f>
        <v>남자</v>
      </c>
      <c r="R47" s="8"/>
      <c r="S47" s="7">
        <v>44</v>
      </c>
      <c r="T47" s="7"/>
      <c r="U47" s="7" t="str">
        <f>IFERROR(VLOOKUP(T47,[1]사원명부!C$1:D$65536,2,0),"")</f>
        <v/>
      </c>
      <c r="V47" s="7" t="str">
        <f>IFERROR(VLOOKUP(T47,[1]사원명부!C$1:F$65536,4,0),"")</f>
        <v/>
      </c>
      <c r="W47" s="7" t="str">
        <f>IFERROR(VLOOKUP(T47,[1]사원명부!C$1:G$65536,5,0),"")</f>
        <v/>
      </c>
    </row>
    <row r="48" spans="1:23" ht="16.5" x14ac:dyDescent="0.3">
      <c r="A48" s="14">
        <v>45</v>
      </c>
      <c r="B48" s="14"/>
      <c r="C48" s="14" t="str">
        <f>IFERROR(VLOOKUP(B48,[1]사원명부!C$1:D$65536,2,0),"")</f>
        <v/>
      </c>
      <c r="D48" s="14" t="str">
        <f>IFERROR(VLOOKUP(B48,[1]사원명부!C$1:F$65536,4,0),"")</f>
        <v/>
      </c>
      <c r="E48" s="14" t="str">
        <f>IFERROR(VLOOKUP(B48,[1]사원명부!C$1:G$65536,5,0),"")</f>
        <v/>
      </c>
      <c r="F48" s="4"/>
      <c r="G48" s="12">
        <v>45</v>
      </c>
      <c r="H48" s="12"/>
      <c r="I48" s="12" t="str">
        <f>IFERROR(VLOOKUP(H48,[1]사원명부!C$1:D$65536,2,0),"")</f>
        <v/>
      </c>
      <c r="J48" s="12" t="str">
        <f>IFERROR(VLOOKUP(H48,[1]사원명부!C$1:F$65536,4,0),"")</f>
        <v/>
      </c>
      <c r="K48" s="12" t="str">
        <f>IFERROR(VLOOKUP(H48,[1]사원명부!C$1:G$65536,5,0),"")</f>
        <v/>
      </c>
      <c r="L48" s="4"/>
      <c r="M48" s="19">
        <v>45</v>
      </c>
      <c r="N48" s="19" t="s">
        <v>5</v>
      </c>
      <c r="O48" s="19" t="str">
        <f>IFERROR(VLOOKUP(N48,[1]사원명부!C$1:D$65536,2,0),"")</f>
        <v>항행관제사업2팀</v>
      </c>
      <c r="P48" s="19" t="str">
        <f>IFERROR(VLOOKUP(N48,[1]사원명부!C$1:F$65536,4,0),"")</f>
        <v>연구원</v>
      </c>
      <c r="Q48" s="19" t="str">
        <f>IFERROR(VLOOKUP(N48,[1]사원명부!C$1:G$65536,5,0),"")</f>
        <v>남자</v>
      </c>
      <c r="R48" s="8"/>
      <c r="S48" s="7">
        <v>45</v>
      </c>
      <c r="T48" s="7"/>
      <c r="U48" s="7" t="str">
        <f>IFERROR(VLOOKUP(T48,[1]사원명부!C$1:D$65536,2,0),"")</f>
        <v/>
      </c>
      <c r="V48" s="7" t="str">
        <f>IFERROR(VLOOKUP(T48,[1]사원명부!C$1:F$65536,4,0),"")</f>
        <v/>
      </c>
      <c r="W48" s="7" t="str">
        <f>IFERROR(VLOOKUP(T48,[1]사원명부!C$1:G$65536,5,0),"")</f>
        <v/>
      </c>
    </row>
    <row r="49" spans="1:23" ht="16.5" x14ac:dyDescent="0.3">
      <c r="A49" s="14">
        <v>46</v>
      </c>
      <c r="B49" s="14"/>
      <c r="C49" s="14" t="str">
        <f>IFERROR(VLOOKUP(B49,[1]사원명부!C$1:D$65536,2,0),"")</f>
        <v/>
      </c>
      <c r="D49" s="14" t="str">
        <f>IFERROR(VLOOKUP(B49,[1]사원명부!C$1:F$65536,4,0),"")</f>
        <v/>
      </c>
      <c r="E49" s="14" t="str">
        <f>IFERROR(VLOOKUP(B49,[1]사원명부!C$1:G$65536,5,0),"")</f>
        <v/>
      </c>
      <c r="F49" s="4"/>
      <c r="G49" s="12">
        <v>46</v>
      </c>
      <c r="H49" s="12"/>
      <c r="I49" s="12" t="str">
        <f>IFERROR(VLOOKUP(H49,[1]사원명부!C$1:D$65536,2,0),"")</f>
        <v/>
      </c>
      <c r="J49" s="12" t="str">
        <f>IFERROR(VLOOKUP(H49,[1]사원명부!C$1:F$65536,4,0),"")</f>
        <v/>
      </c>
      <c r="K49" s="12" t="str">
        <f>IFERROR(VLOOKUP(H49,[1]사원명부!C$1:G$65536,5,0),"")</f>
        <v/>
      </c>
      <c r="L49" s="4"/>
      <c r="M49" s="19">
        <v>46</v>
      </c>
      <c r="N49" s="19" t="s">
        <v>4</v>
      </c>
      <c r="O49" s="19" t="str">
        <f>IFERROR(VLOOKUP(N49,[1]사원명부!C$1:D$65536,2,0),"")</f>
        <v>항행관제사업2팀</v>
      </c>
      <c r="P49" s="19" t="str">
        <f>IFERROR(VLOOKUP(N49,[1]사원명부!C$1:F$65536,4,0),"")</f>
        <v>사원</v>
      </c>
      <c r="Q49" s="19" t="str">
        <f>IFERROR(VLOOKUP(N49,[1]사원명부!C$1:G$65536,5,0),"")</f>
        <v>여자</v>
      </c>
      <c r="R49" s="8"/>
      <c r="S49" s="7">
        <v>46</v>
      </c>
      <c r="T49" s="7"/>
      <c r="U49" s="7" t="str">
        <f>IFERROR(VLOOKUP(T49,[1]사원명부!C$1:D$65536,2,0),"")</f>
        <v/>
      </c>
      <c r="V49" s="7" t="str">
        <f>IFERROR(VLOOKUP(T49,[1]사원명부!C$1:F$65536,4,0),"")</f>
        <v/>
      </c>
      <c r="W49" s="7" t="str">
        <f>IFERROR(VLOOKUP(T49,[1]사원명부!C$1:G$65536,5,0),"")</f>
        <v/>
      </c>
    </row>
    <row r="50" spans="1:23" ht="16.5" hidden="1" x14ac:dyDescent="0.3">
      <c r="A50" s="14">
        <v>47</v>
      </c>
      <c r="B50" s="14"/>
      <c r="C50" s="14" t="str">
        <f>IFERROR(VLOOKUP(B50,[1]사원명부!C$1:D$65536,2,0),"")</f>
        <v/>
      </c>
      <c r="D50" s="14" t="str">
        <f>IFERROR(VLOOKUP(B50,[1]사원명부!C$1:F$65536,4,0),"")</f>
        <v/>
      </c>
      <c r="E50" s="14" t="str">
        <f>IFERROR(VLOOKUP(B50,[1]사원명부!C$1:G$65536,5,0),"")</f>
        <v/>
      </c>
      <c r="F50" s="4"/>
      <c r="G50" s="12">
        <v>47</v>
      </c>
      <c r="H50" s="12"/>
      <c r="I50" s="12" t="str">
        <f>IFERROR(VLOOKUP(H50,[1]사원명부!C$1:D$65536,2,0),"")</f>
        <v/>
      </c>
      <c r="J50" s="12" t="str">
        <f>IFERROR(VLOOKUP(H50,[1]사원명부!C$1:F$65536,4,0),"")</f>
        <v/>
      </c>
      <c r="K50" s="12" t="str">
        <f>IFERROR(VLOOKUP(H50,[1]사원명부!C$1:G$65536,5,0),"")</f>
        <v/>
      </c>
      <c r="L50" s="4"/>
      <c r="M50" s="19">
        <v>47</v>
      </c>
      <c r="N50" s="19"/>
      <c r="O50" s="19" t="str">
        <f>IFERROR(VLOOKUP(N50,[1]사원명부!C$1:D$65536,2,0),"")</f>
        <v/>
      </c>
      <c r="P50" s="19" t="str">
        <f>IFERROR(VLOOKUP(N50,[1]사원명부!C$1:F$65536,4,0),"")</f>
        <v/>
      </c>
      <c r="Q50" s="19" t="str">
        <f>IFERROR(VLOOKUP(N50,[1]사원명부!C$1:G$65536,5,0),"")</f>
        <v/>
      </c>
      <c r="R50" s="8"/>
      <c r="S50" s="7">
        <v>47</v>
      </c>
      <c r="T50" s="7"/>
      <c r="U50" s="7" t="str">
        <f>IFERROR(VLOOKUP(T50,[1]사원명부!C$1:D$65536,2,0),"")</f>
        <v/>
      </c>
      <c r="V50" s="7" t="str">
        <f>IFERROR(VLOOKUP(T50,[1]사원명부!C$1:F$65536,4,0),"")</f>
        <v/>
      </c>
      <c r="W50" s="7" t="str">
        <f>IFERROR(VLOOKUP(T50,[1]사원명부!C$1:G$65536,5,0),"")</f>
        <v/>
      </c>
    </row>
    <row r="51" spans="1:23" ht="16.5" hidden="1" x14ac:dyDescent="0.3">
      <c r="A51" s="14">
        <v>48</v>
      </c>
      <c r="B51" s="14"/>
      <c r="C51" s="14" t="str">
        <f>IFERROR(VLOOKUP(B51,[1]사원명부!C$1:D$65536,2,0),"")</f>
        <v/>
      </c>
      <c r="D51" s="14" t="str">
        <f>IFERROR(VLOOKUP(B51,[1]사원명부!C$1:F$65536,4,0),"")</f>
        <v/>
      </c>
      <c r="E51" s="14" t="str">
        <f>IFERROR(VLOOKUP(B51,[1]사원명부!C$1:G$65536,5,0),"")</f>
        <v/>
      </c>
      <c r="F51" s="4"/>
      <c r="G51" s="12">
        <v>48</v>
      </c>
      <c r="H51" s="12"/>
      <c r="I51" s="12" t="str">
        <f>IFERROR(VLOOKUP(H51,[1]사원명부!C$1:D$65536,2,0),"")</f>
        <v/>
      </c>
      <c r="J51" s="12" t="str">
        <f>IFERROR(VLOOKUP(H51,[1]사원명부!C$1:F$65536,4,0),"")</f>
        <v/>
      </c>
      <c r="K51" s="12" t="str">
        <f>IFERROR(VLOOKUP(H51,[1]사원명부!C$1:G$65536,5,0),"")</f>
        <v/>
      </c>
      <c r="L51" s="4"/>
      <c r="M51" s="19">
        <v>48</v>
      </c>
      <c r="N51" s="19"/>
      <c r="O51" s="19" t="str">
        <f>IFERROR(VLOOKUP(N51,[1]사원명부!C$1:D$65536,2,0),"")</f>
        <v/>
      </c>
      <c r="P51" s="19" t="str">
        <f>IFERROR(VLOOKUP(N51,[1]사원명부!C$1:F$65536,4,0),"")</f>
        <v/>
      </c>
      <c r="Q51" s="19" t="str">
        <f>IFERROR(VLOOKUP(N51,[1]사원명부!C$1:G$65536,5,0),"")</f>
        <v/>
      </c>
      <c r="R51" s="8"/>
      <c r="S51" s="7">
        <v>48</v>
      </c>
      <c r="T51" s="7"/>
      <c r="U51" s="7" t="str">
        <f>IFERROR(VLOOKUP(T51,[1]사원명부!C$1:D$65536,2,0),"")</f>
        <v/>
      </c>
      <c r="V51" s="7" t="str">
        <f>IFERROR(VLOOKUP(T51,[1]사원명부!C$1:F$65536,4,0),"")</f>
        <v/>
      </c>
      <c r="W51" s="7" t="str">
        <f>IFERROR(VLOOKUP(T51,[1]사원명부!C$1:G$65536,5,0),"")</f>
        <v/>
      </c>
    </row>
    <row r="52" spans="1:23" ht="16.5" hidden="1" x14ac:dyDescent="0.3">
      <c r="A52" s="14">
        <v>49</v>
      </c>
      <c r="B52" s="14"/>
      <c r="C52" s="14" t="str">
        <f>IFERROR(VLOOKUP(B52,[1]사원명부!C$1:D$65536,2,0),"")</f>
        <v/>
      </c>
      <c r="D52" s="14" t="str">
        <f>IFERROR(VLOOKUP(B52,[1]사원명부!C$1:F$65536,4,0),"")</f>
        <v/>
      </c>
      <c r="E52" s="14" t="str">
        <f>IFERROR(VLOOKUP(B52,[1]사원명부!C$1:G$65536,5,0),"")</f>
        <v/>
      </c>
      <c r="F52" s="4"/>
      <c r="G52" s="12">
        <v>49</v>
      </c>
      <c r="H52" s="12"/>
      <c r="I52" s="12" t="str">
        <f>IFERROR(VLOOKUP(H52,[1]사원명부!C$1:D$65536,2,0),"")</f>
        <v/>
      </c>
      <c r="J52" s="12" t="str">
        <f>IFERROR(VLOOKUP(H52,[1]사원명부!C$1:F$65536,4,0),"")</f>
        <v/>
      </c>
      <c r="K52" s="12" t="str">
        <f>IFERROR(VLOOKUP(H52,[1]사원명부!C$1:G$65536,5,0),"")</f>
        <v/>
      </c>
      <c r="L52" s="4"/>
      <c r="M52" s="19">
        <v>49</v>
      </c>
      <c r="N52" s="19"/>
      <c r="O52" s="19" t="str">
        <f>IFERROR(VLOOKUP(N52,[1]사원명부!C$1:D$65536,2,0),"")</f>
        <v/>
      </c>
      <c r="P52" s="19" t="str">
        <f>IFERROR(VLOOKUP(N52,[1]사원명부!C$1:F$65536,4,0),"")</f>
        <v/>
      </c>
      <c r="Q52" s="19" t="str">
        <f>IFERROR(VLOOKUP(N52,[1]사원명부!C$1:G$65536,5,0),"")</f>
        <v/>
      </c>
      <c r="R52" s="8"/>
      <c r="S52" s="7">
        <v>49</v>
      </c>
      <c r="T52" s="7"/>
      <c r="U52" s="7" t="str">
        <f>IFERROR(VLOOKUP(T52,[1]사원명부!C$1:D$65536,2,0),"")</f>
        <v/>
      </c>
      <c r="V52" s="7" t="str">
        <f>IFERROR(VLOOKUP(T52,[1]사원명부!C$1:F$65536,4,0),"")</f>
        <v/>
      </c>
      <c r="W52" s="7" t="str">
        <f>IFERROR(VLOOKUP(T52,[1]사원명부!C$1:G$65536,5,0),"")</f>
        <v/>
      </c>
    </row>
    <row r="53" spans="1:23" ht="16.5" hidden="1" x14ac:dyDescent="0.3">
      <c r="A53" s="14">
        <v>50</v>
      </c>
      <c r="B53" s="14"/>
      <c r="C53" s="14" t="str">
        <f>IFERROR(VLOOKUP(B53,[1]사원명부!C$1:D$65536,2,0),"")</f>
        <v/>
      </c>
      <c r="D53" s="14" t="str">
        <f>IFERROR(VLOOKUP(B53,[1]사원명부!C$1:F$65536,4,0),"")</f>
        <v/>
      </c>
      <c r="E53" s="14" t="str">
        <f>IFERROR(VLOOKUP(B53,[1]사원명부!C$1:G$65536,5,0),"")</f>
        <v/>
      </c>
      <c r="F53" s="4"/>
      <c r="G53" s="12">
        <v>50</v>
      </c>
      <c r="H53" s="12"/>
      <c r="I53" s="12" t="str">
        <f>IFERROR(VLOOKUP(H53,[1]사원명부!C$1:D$65536,2,0),"")</f>
        <v/>
      </c>
      <c r="J53" s="12" t="str">
        <f>IFERROR(VLOOKUP(H53,[1]사원명부!C$1:F$65536,4,0),"")</f>
        <v/>
      </c>
      <c r="K53" s="12" t="str">
        <f>IFERROR(VLOOKUP(H53,[1]사원명부!C$1:G$65536,5,0),"")</f>
        <v/>
      </c>
      <c r="L53" s="4"/>
      <c r="M53" s="19">
        <v>50</v>
      </c>
      <c r="N53" s="10"/>
      <c r="O53" s="19" t="str">
        <f>IFERROR(VLOOKUP(N53,[1]사원명부!C$1:D$65536,2,0),"")</f>
        <v/>
      </c>
      <c r="P53" s="10" t="str">
        <f>IFERROR(VLOOKUP(N53,[1]사원명부!C$1:F$65536,4,0),"")</f>
        <v/>
      </c>
      <c r="Q53" s="10" t="str">
        <f>IFERROR(VLOOKUP(N53,[1]사원명부!C$1:G$65536,5,0),"")</f>
        <v/>
      </c>
      <c r="R53" s="8"/>
      <c r="S53" s="7">
        <v>50</v>
      </c>
      <c r="T53" s="7"/>
      <c r="U53" s="7" t="str">
        <f>IFERROR(VLOOKUP(T53,[1]사원명부!C$1:D$65536,2,0),"")</f>
        <v/>
      </c>
      <c r="V53" s="7" t="str">
        <f>IFERROR(VLOOKUP(T53,[1]사원명부!C$1:F$65536,4,0),"")</f>
        <v/>
      </c>
      <c r="W53" s="7" t="str">
        <f>IFERROR(VLOOKUP(T53,[1]사원명부!C$1:G$65536,5,0),"")</f>
        <v/>
      </c>
    </row>
    <row r="54" spans="1:23" ht="16.5" x14ac:dyDescent="0.3">
      <c r="A54" s="23" t="s">
        <v>3</v>
      </c>
      <c r="B54" s="14" t="s">
        <v>2</v>
      </c>
      <c r="C54" s="14"/>
      <c r="D54" s="13">
        <f>COUNTIF(E4:E53, "남자")</f>
        <v>35</v>
      </c>
      <c r="E54" s="13"/>
      <c r="F54" s="4"/>
      <c r="G54" s="22" t="s">
        <v>3</v>
      </c>
      <c r="H54" s="24" t="s">
        <v>2</v>
      </c>
      <c r="I54" s="24"/>
      <c r="J54" s="21">
        <f>COUNTIF(K4:K53, "남자")</f>
        <v>24</v>
      </c>
      <c r="K54" s="21"/>
      <c r="L54" s="4"/>
      <c r="M54" s="20" t="s">
        <v>3</v>
      </c>
      <c r="N54" s="10" t="s">
        <v>2</v>
      </c>
      <c r="O54" s="19"/>
      <c r="P54" s="18">
        <f>COUNTIF(Q4:Q53, "남자")</f>
        <v>39</v>
      </c>
      <c r="Q54" s="18"/>
      <c r="R54" s="8"/>
      <c r="S54" s="17" t="s">
        <v>3</v>
      </c>
      <c r="T54" s="7" t="s">
        <v>2</v>
      </c>
      <c r="U54" s="16"/>
      <c r="V54" s="15">
        <f>COUNTIF(W4:W53, "남자")</f>
        <v>31</v>
      </c>
      <c r="W54" s="15"/>
    </row>
    <row r="55" spans="1:23" ht="16.5" x14ac:dyDescent="0.3">
      <c r="A55" s="23"/>
      <c r="B55" s="14" t="s">
        <v>1</v>
      </c>
      <c r="C55" s="14"/>
      <c r="D55" s="13">
        <f>COUNTIF(E4:E53, "여자")</f>
        <v>9</v>
      </c>
      <c r="E55" s="13"/>
      <c r="F55" s="4"/>
      <c r="G55" s="22"/>
      <c r="H55" s="12" t="s">
        <v>1</v>
      </c>
      <c r="I55" s="12"/>
      <c r="J55" s="21">
        <f>COUNTIF(K4:K53, "여자")</f>
        <v>7</v>
      </c>
      <c r="K55" s="21"/>
      <c r="L55" s="4"/>
      <c r="M55" s="20"/>
      <c r="N55" s="10" t="s">
        <v>1</v>
      </c>
      <c r="O55" s="19"/>
      <c r="P55" s="18">
        <f>COUNTIF(Q4:Q53, "여자")</f>
        <v>7</v>
      </c>
      <c r="Q55" s="18"/>
      <c r="R55" s="8"/>
      <c r="S55" s="17"/>
      <c r="T55" s="7" t="s">
        <v>1</v>
      </c>
      <c r="U55" s="16"/>
      <c r="V55" s="15">
        <f>COUNTIF(W4:W53, "여자")</f>
        <v>12</v>
      </c>
      <c r="W55" s="15"/>
    </row>
    <row r="56" spans="1:23" ht="15.75" customHeight="1" x14ac:dyDescent="0.3">
      <c r="A56" s="14"/>
      <c r="B56" s="14"/>
      <c r="C56" s="14"/>
      <c r="D56" s="13">
        <f>+D54+D55</f>
        <v>44</v>
      </c>
      <c r="E56" s="13"/>
      <c r="F56" s="4"/>
      <c r="G56" s="12"/>
      <c r="H56" s="12"/>
      <c r="I56" s="12"/>
      <c r="J56" s="11">
        <f>+J55+J54</f>
        <v>31</v>
      </c>
      <c r="K56" s="11"/>
      <c r="L56" s="4"/>
      <c r="M56" s="10"/>
      <c r="N56" s="10"/>
      <c r="O56" s="10"/>
      <c r="P56" s="9">
        <f>+P54+P55</f>
        <v>46</v>
      </c>
      <c r="Q56" s="9"/>
      <c r="R56" s="8"/>
      <c r="S56" s="7"/>
      <c r="T56" s="7"/>
      <c r="U56" s="7"/>
      <c r="V56" s="6">
        <f>+V54+V55</f>
        <v>43</v>
      </c>
      <c r="W56" s="6"/>
    </row>
    <row r="57" spans="1:23" ht="16.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6.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5" t="s">
        <v>0</v>
      </c>
      <c r="U58" s="4"/>
      <c r="V58" s="3">
        <f>+V56+P56+J56+D56</f>
        <v>164</v>
      </c>
      <c r="W58" s="2"/>
    </row>
  </sheetData>
  <mergeCells count="21">
    <mergeCell ref="J55:K55"/>
    <mergeCell ref="J54:K54"/>
    <mergeCell ref="D56:E56"/>
    <mergeCell ref="V55:W55"/>
    <mergeCell ref="S54:S55"/>
    <mergeCell ref="V54:W54"/>
    <mergeCell ref="D54:E54"/>
    <mergeCell ref="J56:K56"/>
    <mergeCell ref="P54:Q54"/>
    <mergeCell ref="P55:Q55"/>
    <mergeCell ref="D55:E55"/>
    <mergeCell ref="V58:W58"/>
    <mergeCell ref="M2:Q2"/>
    <mergeCell ref="S2:W2"/>
    <mergeCell ref="M54:M55"/>
    <mergeCell ref="A2:E2"/>
    <mergeCell ref="G2:K2"/>
    <mergeCell ref="A54:A55"/>
    <mergeCell ref="G54:G55"/>
    <mergeCell ref="V56:W56"/>
    <mergeCell ref="P56:Q56"/>
  </mergeCells>
  <phoneticPr fontId="2" type="noConversion"/>
  <pageMargins left="0.7" right="0.7" top="0.75" bottom="0.75" header="0.3" footer="0.3"/>
  <pageSetup paperSize="8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팀배정(확정)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경환 김</dc:creator>
  <cp:lastModifiedBy>경환 김</cp:lastModifiedBy>
  <dcterms:created xsi:type="dcterms:W3CDTF">2026-04-29T00:42:40Z</dcterms:created>
  <dcterms:modified xsi:type="dcterms:W3CDTF">2026-04-29T00:45:13Z</dcterms:modified>
</cp:coreProperties>
</file>